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ntt Chart" sheetId="1" r:id="rId5"/>
    <sheet state="hidden" name="Help" sheetId="2" r:id="rId6"/>
    <sheet state="hidden" name="TermsOfUse" sheetId="3" r:id="rId7"/>
    <sheet state="hidden" name="GanttChartPro" sheetId="4" r:id="rId8"/>
  </sheets>
  <definedNames>
    <definedName name="VALUEVX">LAMBDA(42.314159)</definedName>
  </definedNames>
  <calcPr/>
</workbook>
</file>

<file path=xl/sharedStrings.xml><?xml version="1.0" encoding="utf-8"?>
<sst xmlns="http://schemas.openxmlformats.org/spreadsheetml/2006/main" count="169" uniqueCount="116">
  <si>
    <t>Proyecto PrevenTech</t>
  </si>
  <si>
    <r>
      <rPr>
        <rFont val="Roboto"/>
        <color rgb="FFCCCCCC"/>
        <sz val="8.0"/>
      </rPr>
      <t xml:space="preserve">Gantt Chart Template © 2020 by </t>
    </r>
    <r>
      <rPr>
        <rFont val="Roboto"/>
        <color rgb="FFCCCCCC"/>
        <sz val="8.0"/>
        <u/>
      </rPr>
      <t>Vertex42.com</t>
    </r>
  </si>
  <si>
    <t>Condominio El Descanso</t>
  </si>
  <si>
    <t>Inicio del proyecto:</t>
  </si>
  <si>
    <t>Sistema de Gestión de Mantenimiento Preventivo</t>
  </si>
  <si>
    <t>Semana para mostrar:</t>
  </si>
  <si>
    <t>TAREA</t>
  </si>
  <si>
    <t>ASIGNADO A</t>
  </si>
  <si>
    <t>PROGRESO</t>
  </si>
  <si>
    <t>INICIO</t>
  </si>
  <si>
    <t>DÍAS</t>
  </si>
  <si>
    <t>FIN</t>
  </si>
  <si>
    <t>Análisis y Planificación</t>
  </si>
  <si>
    <t>Identificación del problema</t>
  </si>
  <si>
    <t>Lesly Díaz</t>
  </si>
  <si>
    <t>Reunión con cliente</t>
  </si>
  <si>
    <t>Equipo completo</t>
  </si>
  <si>
    <t>Recopilación de información</t>
  </si>
  <si>
    <t>Definición de objetivos y alcance</t>
  </si>
  <si>
    <t>Definición de arquitectura</t>
  </si>
  <si>
    <t>Ruth Gonzalez</t>
  </si>
  <si>
    <t>Levantamiento requerimientos funcionales</t>
  </si>
  <si>
    <t>Maira Vidal</t>
  </si>
  <si>
    <t>Levantamiento requerimientos no funcionales</t>
  </si>
  <si>
    <t>Definición de la metodología</t>
  </si>
  <si>
    <t>Creación del repositorio en GitHub</t>
  </si>
  <si>
    <t>Elaboración del Modelo Entidad-Relación (MER)</t>
  </si>
  <si>
    <t>Elaboración de la Carta Gantt</t>
  </si>
  <si>
    <t>Elaboración de la planilla de riesgos</t>
  </si>
  <si>
    <t>Elaboración de la hoja de ruta del proyecto</t>
  </si>
  <si>
    <t>Identificación de microservicios</t>
  </si>
  <si>
    <t>Diagrama de actividad</t>
  </si>
  <si>
    <t>Diagrama de casos de uso</t>
  </si>
  <si>
    <t>Diagrama de clases</t>
  </si>
  <si>
    <t>Diagrama de componentes</t>
  </si>
  <si>
    <t>Diagrama de comunicación</t>
  </si>
  <si>
    <t>Diagrama de despliegue</t>
  </si>
  <si>
    <t>Diagrama de paquetes</t>
  </si>
  <si>
    <t>Diagrama de secuencia</t>
  </si>
  <si>
    <t>Mockup en Canva</t>
  </si>
  <si>
    <t>Diseño y Desarrollo</t>
  </si>
  <si>
    <t>Configuración del entorno de desarrollo</t>
  </si>
  <si>
    <t>Planificación técnica del desarrollo</t>
  </si>
  <si>
    <t>Diseño físico de la base de datos en MySQL</t>
  </si>
  <si>
    <t>Ruth González</t>
  </si>
  <si>
    <t>Creación del proyecto Backend en Spring Boot</t>
  </si>
  <si>
    <t>Configuración del entorno Frontend en React</t>
  </si>
  <si>
    <t>Implementación de la base de datos</t>
  </si>
  <si>
    <t>Desarrollo del microservicio de autenticación</t>
  </si>
  <si>
    <t>Desarrollo de interfaces de usuario</t>
  </si>
  <si>
    <t>Configuración de la conexión Backend–Base de Datos</t>
  </si>
  <si>
    <t>Desarrollo del microservicio principal</t>
  </si>
  <si>
    <t>Implementación de componentes y navegación</t>
  </si>
  <si>
    <t>Implementación de APIs REST</t>
  </si>
  <si>
    <t>Gestión y versionado del repositorio</t>
  </si>
  <si>
    <t>Integración del Frontend con el Backend</t>
  </si>
  <si>
    <t>Integración general del sistema</t>
  </si>
  <si>
    <t>Documentación técnica del sistema</t>
  </si>
  <si>
    <t>Pruebas y Validación</t>
  </si>
  <si>
    <t>Planificación de las pruebas</t>
  </si>
  <si>
    <t>Elaboración de casos de prueba</t>
  </si>
  <si>
    <t>Preparación del entorno de pruebas</t>
  </si>
  <si>
    <t>Ejecución de pruebas unitarias de la base de datos</t>
  </si>
  <si>
    <t>Pruebas unitarias del Backend</t>
  </si>
  <si>
    <t>Pruebas unitarias del Frontend</t>
  </si>
  <si>
    <t>Pruebas de integración del Backend</t>
  </si>
  <si>
    <t>Pruebas de integración del Frontend</t>
  </si>
  <si>
    <t>Pruebas de integración con la base de datos</t>
  </si>
  <si>
    <t>Pruebas funcionales del sistema</t>
  </si>
  <si>
    <t>Pruebas de usabilidad</t>
  </si>
  <si>
    <t>Identificación y registro de errores</t>
  </si>
  <si>
    <t>Corrección de errores del Backend</t>
  </si>
  <si>
    <t>Corrección de errores del Frontend y validación final</t>
  </si>
  <si>
    <t>Presentación Final</t>
  </si>
  <si>
    <t>Elaboración del informe final</t>
  </si>
  <si>
    <t>Preparación de la demostración del sistema</t>
  </si>
  <si>
    <t>Diseño de la presentación y diapositivas</t>
  </si>
  <si>
    <t>Ensayo general de la exposición</t>
  </si>
  <si>
    <t>Presentación final del proyecto</t>
  </si>
  <si>
    <t>Help</t>
  </si>
  <si>
    <t>Instead of detailed help worksheet, please do the following if you have questions about how this spreadsheet works, or how to use this spreadsheet.</t>
  </si>
  <si>
    <t>1) Watch the Video Tutorial on YouTube</t>
  </si>
  <si>
    <t>https://youtu.be/8eKk0M2zGIk</t>
  </si>
  <si>
    <t>2) Read the Following Page</t>
  </si>
  <si>
    <t>https://www.vertex42.com/ExcelTemplates/simple-gantt-chart.html</t>
  </si>
  <si>
    <t>Although the content on the above page was created originally for the Excel template, most of the information about the use of formulas and ways to customize the Gantt chart apply just as well to the Google Sheets version.</t>
  </si>
  <si>
    <t>Formula for % Complete of a summary task, based on its sub tasks:</t>
  </si>
  <si>
    <t>SUMPRODUCT(days_range,percent_complete_range)/SUM(days_range)</t>
  </si>
  <si>
    <t>To show the % Complete within the bars in the Gantt chart:</t>
  </si>
  <si>
    <t>Select a cell within the Gantt chart area and go to Format &gt; Conditional Formatting, then "turn on" the grey bar rule by changing 1=0 to 1=1 within the AND function.</t>
  </si>
  <si>
    <t>Simple Gantt Chart for Google Sheets</t>
  </si>
  <si>
    <t>© 2020 Vertex42 LLC. All rights reserved.</t>
  </si>
  <si>
    <t>This template is a copyrighted work under the Unites States and other copyright laws and is the property of Vertex42 LLC. The items listed below are additional points to help clarify how you may use this template.</t>
  </si>
  <si>
    <t>You may make archival copies and customize this template only for your personal use or use within your company or organization and not for resale or public sharing.</t>
  </si>
  <si>
    <t>You may not remove or alter any logo, trademark, copyright, disclaimer, brand, terms of use, attribution, or other proprietary notices or marks within this template.</t>
  </si>
  <si>
    <t>This template and any customized or modified version of this template may NOT be sold, distributed, published to an online gallery, hosted on a website, or placed on a public server.</t>
  </si>
  <si>
    <t>The Share Settings for this spreadsheet must always be set to "Private"</t>
  </si>
  <si>
    <t>Limited Private Sharing and Other Allowed Uses</t>
  </si>
  <si>
    <t>See the complete license agreement to learn more about how you may or may not use this template.</t>
  </si>
  <si>
    <t>View the Complete License Agreement</t>
  </si>
  <si>
    <t>Gantt Chart Template Pro for Google Sheets</t>
  </si>
  <si>
    <t>Gantt Chart Template Pro, by Vertex42.com, is a spreadsheet template designed originally for Microsoft Excel that offers more features than the free version. When you purchase it, you will also get a link to download the Pro version for Google Sheets!!</t>
  </si>
  <si>
    <t xml:space="preserve"> - Visit the web page above to view screenshots and watch demo videos</t>
  </si>
  <si>
    <t>Features in the Pro version for Google Sheets</t>
  </si>
  <si>
    <t>Define task durations by specifying the number of Work Days</t>
  </si>
  <si>
    <t xml:space="preserve"> - In this free version, the inputs to define a task are the Start Date and the Calendar Day duration. In the Pro version, the default option is to enter the Start Date and the number of Work Days.</t>
  </si>
  <si>
    <t>Choose whether to define task durations using Calendar Days or Work Days or End Dates</t>
  </si>
  <si>
    <t xml:space="preserve"> - The Pro version includes a larger set of template rows that provide more options for defining the Start date, End date, duration, and dependency of tasks.</t>
  </si>
  <si>
    <t>Exclude holidays from work days</t>
  </si>
  <si>
    <t xml:space="preserve"> - List holidays and other non-working days in a separate sheet. When defining task durations using Work Days, these dates will be excluded.</t>
  </si>
  <si>
    <t>Define what you mean by "Weekend" when using Work Days</t>
  </si>
  <si>
    <t xml:space="preserve"> - The Pro version allows you to define exactly which day(s) of the week you want to use as your weekend. The default is Saturday and Sunday.</t>
  </si>
  <si>
    <t>Color-Code bars in the Gantt chart</t>
  </si>
  <si>
    <t xml:space="preserve"> - The Pro version includes a column for entering a color code like "k", "r", or "y" to change the color of the bars in the Gantt chart. The Help worksheet explains some advanced formulas that you could use in the Color column to automatically color a bar based on the name in the Lead column.</t>
  </si>
  <si>
    <t>Define tasks dependences by specifying the predecessor WBS</t>
  </si>
  <si>
    <t xml:space="preserve"> - The template rows include an option for entering a Predecessor WBS. The Start date will be calculated as the day following the End date of the predecessor.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</si>
</sst>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quot; &quot;mmm&quot; &quot;yyyy"/>
    <numFmt numFmtId="165" formatCode="d"/>
    <numFmt numFmtId="166" formatCode="m/d/yyyy"/>
  </numFmts>
  <fonts count="30">
    <font>
      <sz val="10.0"/>
      <color rgb="FF000000"/>
      <name val="Arial"/>
      <scheme val="minor"/>
    </font>
    <font>
      <b/>
      <sz val="18.0"/>
      <color rgb="FF0B5394"/>
      <name val="Roboto"/>
    </font>
    <font>
      <color theme="1"/>
      <name val="Roboto"/>
    </font>
    <font>
      <u/>
      <sz val="8.0"/>
      <color rgb="FFCCCCCC"/>
      <name val="Roboto"/>
    </font>
    <font>
      <b/>
      <sz val="11.0"/>
      <color theme="1"/>
      <name val="Roboto"/>
    </font>
    <font>
      <b/>
      <sz val="10.0"/>
      <color theme="1"/>
      <name val="Roboto"/>
    </font>
    <font>
      <sz val="10.0"/>
      <color theme="1"/>
      <name val="Roboto"/>
    </font>
    <font>
      <sz val="11.0"/>
      <color theme="1"/>
      <name val="Roboto"/>
    </font>
    <font>
      <b/>
      <sz val="9.0"/>
      <color theme="1"/>
      <name val="Roboto"/>
    </font>
    <font/>
    <font>
      <sz val="9.0"/>
      <color theme="1"/>
      <name val="Roboto"/>
    </font>
    <font>
      <sz val="8.0"/>
      <color theme="1"/>
      <name val="Roboto"/>
    </font>
    <font>
      <b/>
      <sz val="9.0"/>
      <color rgb="FFFFFFFF"/>
      <name val="Roboto"/>
    </font>
    <font>
      <b/>
      <sz val="8.0"/>
      <color rgb="FFFFFFFF"/>
      <name val="Roboto"/>
    </font>
    <font>
      <b/>
      <sz val="8.0"/>
      <color theme="1"/>
      <name val="Roboto"/>
    </font>
    <font>
      <b/>
      <sz val="18.0"/>
      <color rgb="FFFFFFFF"/>
      <name val="Arial"/>
    </font>
    <font>
      <sz val="12.0"/>
      <color theme="1"/>
      <name val="Arial"/>
    </font>
    <font>
      <sz val="12.0"/>
      <color rgb="FF000000"/>
      <name val="Arial"/>
    </font>
    <font>
      <b/>
      <u/>
      <sz val="12.0"/>
      <color rgb="FF0000FF"/>
    </font>
    <font>
      <i/>
      <sz val="12.0"/>
      <color theme="1"/>
      <name val="Arial"/>
    </font>
    <font>
      <color theme="1"/>
      <name val="Arial"/>
    </font>
    <font>
      <u/>
      <sz val="12.0"/>
      <color rgb="FF0000FF"/>
    </font>
    <font>
      <sz val="11.0"/>
      <color rgb="FF000000"/>
      <name val="Arial"/>
    </font>
    <font>
      <sz val="11.0"/>
      <color theme="1"/>
      <name val="Arial"/>
    </font>
    <font>
      <b/>
      <sz val="11.0"/>
      <color rgb="FF000000"/>
      <name val="Arial"/>
    </font>
    <font>
      <u/>
      <sz val="11.0"/>
      <color rgb="FF0000FF"/>
    </font>
    <font>
      <u/>
      <sz val="14.0"/>
      <color rgb="FF0000FF"/>
    </font>
    <font>
      <b/>
      <color theme="1"/>
      <name val="Arial"/>
    </font>
    <font>
      <b/>
      <sz val="14.0"/>
      <color rgb="FF073763"/>
      <name val="Arial"/>
    </font>
    <font>
      <color rgb="FF073763"/>
      <name val="Arial"/>
    </font>
  </fonts>
  <fills count="7">
    <fill>
      <patternFill patternType="none"/>
    </fill>
    <fill>
      <patternFill patternType="lightGray"/>
    </fill>
    <fill>
      <patternFill patternType="solid">
        <fgColor rgb="FFF3F3F3"/>
        <bgColor rgb="FFF3F3F3"/>
      </patternFill>
    </fill>
    <fill>
      <patternFill patternType="solid">
        <fgColor rgb="FF666666"/>
        <bgColor rgb="FF666666"/>
      </patternFill>
    </fill>
    <fill>
      <patternFill patternType="solid">
        <fgColor rgb="FF9FC5E8"/>
        <bgColor rgb="FF9FC5E8"/>
      </patternFill>
    </fill>
    <fill>
      <patternFill patternType="solid">
        <fgColor rgb="FF0B5394"/>
        <bgColor rgb="FF0B5394"/>
      </patternFill>
    </fill>
    <fill>
      <patternFill patternType="solid">
        <fgColor rgb="FFCFE2F3"/>
        <bgColor rgb="FFCFE2F3"/>
      </patternFill>
    </fill>
  </fills>
  <borders count="13">
    <border/>
    <border>
      <left style="thin">
        <color rgb="FFB7B7B7"/>
      </left>
      <right style="thin">
        <color rgb="FFB7B7B7"/>
      </right>
      <top style="thin">
        <color rgb="FFB7B7B7"/>
      </top>
      <bottom style="thin">
        <color rgb="FFB7B7B7"/>
      </bottom>
    </border>
    <border>
      <left style="thin">
        <color rgb="FF666666"/>
      </left>
      <top style="thin">
        <color rgb="FF666666"/>
      </top>
    </border>
    <border>
      <top style="thin">
        <color rgb="FF666666"/>
      </top>
    </border>
    <border>
      <right style="thin">
        <color rgb="FF666666"/>
      </right>
      <top style="thin">
        <color rgb="FF666666"/>
      </top>
    </border>
    <border>
      <left style="thin">
        <color rgb="FF666666"/>
      </left>
    </border>
    <border>
      <right style="thin">
        <color rgb="FF666666"/>
      </right>
    </border>
    <border>
      <left style="thin">
        <color rgb="FFB7B7B7"/>
      </left>
    </border>
    <border>
      <right style="thin">
        <color rgb="FFB7B7B7"/>
      </right>
    </border>
    <border>
      <right style="thin">
        <color rgb="FFB7B7B7"/>
      </right>
      <top style="thin">
        <color rgb="FFB7B7B7"/>
      </top>
      <bottom style="thin">
        <color rgb="FFB7B7B7"/>
      </bottom>
    </border>
    <border>
      <top style="thin">
        <color rgb="FFB7B7B7"/>
      </top>
      <bottom style="thin">
        <color rgb="FFB7B7B7"/>
      </bottom>
    </border>
    <border>
      <left style="thin">
        <color rgb="FFB7B7B7"/>
      </left>
      <top style="thin">
        <color rgb="FFB7B7B7"/>
      </top>
      <bottom style="thin">
        <color rgb="FFB7B7B7"/>
      </bottom>
    </border>
    <border>
      <right/>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horizontal="center" vertical="center"/>
    </xf>
    <xf borderId="0" fillId="0" fontId="2" numFmtId="0" xfId="0" applyAlignment="1" applyFont="1">
      <alignment vertical="center"/>
    </xf>
    <xf borderId="0" fillId="0" fontId="3" numFmtId="0" xfId="0" applyAlignment="1" applyFont="1">
      <alignment vertical="center"/>
    </xf>
    <xf borderId="0" fillId="0" fontId="4" numFmtId="0" xfId="0" applyAlignment="1" applyFont="1">
      <alignment vertical="center"/>
    </xf>
    <xf borderId="0" fillId="0" fontId="4" numFmtId="0" xfId="0" applyAlignment="1" applyFont="1">
      <alignment horizontal="center" vertical="center"/>
    </xf>
    <xf borderId="0" fillId="0" fontId="5" numFmtId="0" xfId="0" applyAlignment="1" applyFont="1">
      <alignment vertical="center"/>
    </xf>
    <xf borderId="0" fillId="0" fontId="5" numFmtId="0" xfId="0" applyAlignment="1" applyFont="1">
      <alignment horizontal="right" vertical="center"/>
    </xf>
    <xf borderId="1" fillId="0" fontId="5" numFmtId="164" xfId="0" applyAlignment="1" applyBorder="1" applyFont="1" applyNumberFormat="1">
      <alignment horizontal="center" vertical="center"/>
    </xf>
    <xf borderId="0" fillId="0" fontId="6" numFmtId="0" xfId="0" applyAlignment="1" applyFont="1">
      <alignment vertical="center"/>
    </xf>
    <xf borderId="0" fillId="0" fontId="7" numFmtId="0" xfId="0" applyAlignment="1" applyFont="1">
      <alignment vertical="center"/>
    </xf>
    <xf borderId="0" fillId="0" fontId="7" numFmtId="0" xfId="0" applyAlignment="1" applyFont="1">
      <alignment horizontal="center" vertical="center"/>
    </xf>
    <xf borderId="0" fillId="0" fontId="6" numFmtId="0" xfId="0" applyAlignment="1" applyFont="1">
      <alignment horizontal="right" vertical="center"/>
    </xf>
    <xf borderId="1" fillId="0" fontId="6" numFmtId="0" xfId="0" applyAlignment="1" applyBorder="1" applyFont="1">
      <alignment horizontal="center" readingOrder="0" vertical="center"/>
    </xf>
    <xf borderId="2" fillId="2" fontId="8" numFmtId="164" xfId="0" applyAlignment="1" applyBorder="1" applyFill="1" applyFont="1" applyNumberFormat="1">
      <alignment horizontal="left" vertical="center"/>
    </xf>
    <xf borderId="3" fillId="0" fontId="9" numFmtId="0" xfId="0" applyBorder="1" applyFont="1"/>
    <xf borderId="4" fillId="0" fontId="9" numFmtId="0" xfId="0" applyBorder="1" applyFont="1"/>
    <xf borderId="0" fillId="0" fontId="10" numFmtId="0" xfId="0" applyAlignment="1" applyFont="1">
      <alignment vertical="center"/>
    </xf>
    <xf borderId="0" fillId="0" fontId="10" numFmtId="0" xfId="0" applyAlignment="1" applyFont="1">
      <alignment horizontal="center" vertical="center"/>
    </xf>
    <xf borderId="5" fillId="2" fontId="11" numFmtId="165" xfId="0" applyAlignment="1" applyBorder="1" applyFont="1" applyNumberFormat="1">
      <alignment horizontal="center" vertical="center"/>
    </xf>
    <xf borderId="0" fillId="2" fontId="11" numFmtId="165" xfId="0" applyAlignment="1" applyFont="1" applyNumberFormat="1">
      <alignment horizontal="center" vertical="center"/>
    </xf>
    <xf borderId="6" fillId="2" fontId="11" numFmtId="165" xfId="0" applyAlignment="1" applyBorder="1" applyFont="1" applyNumberFormat="1">
      <alignment horizontal="center" vertical="center"/>
    </xf>
    <xf borderId="0" fillId="3" fontId="12" numFmtId="0" xfId="0" applyAlignment="1" applyFill="1" applyFont="1">
      <alignment vertical="center"/>
    </xf>
    <xf borderId="0" fillId="3" fontId="12" numFmtId="0" xfId="0" applyAlignment="1" applyFont="1">
      <alignment horizontal="center" vertical="center"/>
    </xf>
    <xf borderId="7" fillId="3" fontId="12" numFmtId="0" xfId="0" applyAlignment="1" applyBorder="1" applyFont="1">
      <alignment horizontal="center" vertical="center"/>
    </xf>
    <xf borderId="8" fillId="0" fontId="9" numFmtId="0" xfId="0" applyBorder="1" applyFont="1"/>
    <xf borderId="0" fillId="3" fontId="13" numFmtId="0" xfId="0" applyAlignment="1" applyFont="1">
      <alignment horizontal="center" vertical="center"/>
    </xf>
    <xf borderId="0" fillId="4" fontId="4" numFmtId="0" xfId="0" applyAlignment="1" applyFill="1" applyFont="1">
      <alignment vertical="center"/>
    </xf>
    <xf borderId="0" fillId="4" fontId="4" numFmtId="166" xfId="0" applyAlignment="1" applyFont="1" applyNumberFormat="1">
      <alignment horizontal="center" vertical="center"/>
    </xf>
    <xf borderId="7" fillId="4" fontId="14" numFmtId="9" xfId="0" applyAlignment="1" applyBorder="1" applyFont="1" applyNumberFormat="1">
      <alignment horizontal="center" vertical="center"/>
    </xf>
    <xf borderId="9" fillId="4" fontId="7" numFmtId="166" xfId="0" applyAlignment="1" applyBorder="1" applyFont="1" applyNumberFormat="1">
      <alignment horizontal="center" vertical="center"/>
    </xf>
    <xf borderId="0" fillId="4" fontId="5" numFmtId="164" xfId="0" applyAlignment="1" applyFont="1" applyNumberFormat="1">
      <alignment horizontal="center" vertical="center"/>
    </xf>
    <xf borderId="0" fillId="4" fontId="5" numFmtId="0" xfId="0" applyAlignment="1" applyFont="1">
      <alignment horizontal="center" vertical="center"/>
    </xf>
    <xf borderId="0" fillId="4" fontId="4" numFmtId="0" xfId="0" applyAlignment="1" applyFont="1">
      <alignment horizontal="center" vertical="center"/>
    </xf>
    <xf borderId="10" fillId="0" fontId="7" numFmtId="0" xfId="0" applyAlignment="1" applyBorder="1" applyFont="1">
      <alignment vertical="center"/>
    </xf>
    <xf borderId="10" fillId="0" fontId="7" numFmtId="0" xfId="0" applyAlignment="1" applyBorder="1" applyFont="1">
      <alignment horizontal="center" vertical="center"/>
    </xf>
    <xf borderId="11" fillId="0" fontId="11" numFmtId="9" xfId="0" applyAlignment="1" applyBorder="1" applyFont="1" applyNumberFormat="1">
      <alignment horizontal="center" vertical="center"/>
    </xf>
    <xf borderId="9" fillId="0" fontId="7" numFmtId="166" xfId="0" applyAlignment="1" applyBorder="1" applyFont="1" applyNumberFormat="1">
      <alignment horizontal="center" vertical="center"/>
    </xf>
    <xf borderId="10" fillId="0" fontId="6" numFmtId="164" xfId="0" applyAlignment="1" applyBorder="1" applyFont="1" applyNumberFormat="1">
      <alignment horizontal="center" vertical="center"/>
    </xf>
    <xf borderId="10" fillId="0" fontId="6" numFmtId="0" xfId="0" applyAlignment="1" applyBorder="1" applyFont="1">
      <alignment horizontal="center" vertical="center"/>
    </xf>
    <xf borderId="8" fillId="4" fontId="4" numFmtId="166" xfId="0" applyAlignment="1" applyBorder="1" applyFont="1" applyNumberFormat="1">
      <alignment horizontal="center" vertical="center"/>
    </xf>
    <xf borderId="0" fillId="5" fontId="15" numFmtId="0" xfId="0" applyAlignment="1" applyFill="1" applyFont="1">
      <alignment vertical="center"/>
    </xf>
    <xf borderId="0" fillId="0" fontId="16" numFmtId="0" xfId="0" applyAlignment="1" applyFont="1">
      <alignment shrinkToFit="0" wrapText="1"/>
    </xf>
    <xf borderId="0" fillId="0" fontId="17" numFmtId="0" xfId="0" applyAlignment="1" applyFont="1">
      <alignment shrinkToFit="0" vertical="top" wrapText="1"/>
    </xf>
    <xf borderId="0" fillId="0" fontId="18" numFmtId="0" xfId="0" applyAlignment="1" applyFont="1">
      <alignment shrinkToFit="0" wrapText="1"/>
    </xf>
    <xf borderId="0" fillId="0" fontId="19" numFmtId="0" xfId="0" applyAlignment="1" applyFont="1">
      <alignment shrinkToFit="0" wrapText="1"/>
    </xf>
    <xf borderId="0" fillId="0" fontId="16" numFmtId="0" xfId="0" applyFont="1"/>
    <xf borderId="0" fillId="0" fontId="20" numFmtId="0" xfId="0" applyAlignment="1" applyFont="1">
      <alignment shrinkToFit="0" wrapText="1"/>
    </xf>
    <xf borderId="0" fillId="0" fontId="21" numFmtId="0" xfId="0" applyAlignment="1" applyFont="1">
      <alignment shrinkToFit="0" wrapText="1"/>
    </xf>
    <xf borderId="0" fillId="0" fontId="22" numFmtId="0" xfId="0" applyAlignment="1" applyFont="1">
      <alignment shrinkToFit="0" vertical="top" wrapText="1"/>
    </xf>
    <xf borderId="0" fillId="0" fontId="23" numFmtId="0" xfId="0" applyAlignment="1" applyFont="1">
      <alignment shrinkToFit="0" wrapText="1"/>
    </xf>
    <xf borderId="0" fillId="0" fontId="24" numFmtId="0" xfId="0" applyAlignment="1" applyFont="1">
      <alignment shrinkToFit="0" vertical="top" wrapText="1"/>
    </xf>
    <xf borderId="0" fillId="0" fontId="20" numFmtId="0" xfId="0" applyAlignment="1" applyFont="1">
      <alignment horizontal="left" vertical="center"/>
    </xf>
    <xf borderId="0" fillId="6" fontId="24" numFmtId="0" xfId="0" applyAlignment="1" applyFill="1" applyFont="1">
      <alignment horizontal="left" shrinkToFit="0" vertical="center" wrapText="1"/>
    </xf>
    <xf borderId="0" fillId="0" fontId="25" numFmtId="0" xfId="0" applyAlignment="1" applyFont="1">
      <alignment shrinkToFit="0" vertical="top" wrapText="1"/>
    </xf>
    <xf borderId="0" fillId="0" fontId="26" numFmtId="0" xfId="0" applyAlignment="1" applyFont="1">
      <alignment shrinkToFit="0" wrapText="0"/>
    </xf>
    <xf borderId="0" fillId="0" fontId="27" numFmtId="0" xfId="0" applyFont="1"/>
    <xf borderId="12" fillId="6" fontId="28" numFmtId="0" xfId="0" applyAlignment="1" applyBorder="1" applyFont="1">
      <alignment shrinkToFit="0" vertical="center" wrapText="0"/>
    </xf>
    <xf borderId="0" fillId="6" fontId="29" numFmtId="0" xfId="0" applyAlignment="1" applyFont="1">
      <alignment vertical="center"/>
    </xf>
  </cellXfs>
  <cellStyles count="1">
    <cellStyle xfId="0" name="Normal" builtinId="0"/>
  </cellStyles>
  <dxfs count="3">
    <dxf>
      <font/>
      <fill>
        <patternFill patternType="solid">
          <fgColor rgb="FFCCCCCC"/>
          <bgColor rgb="FFCCCCCC"/>
        </patternFill>
      </fill>
      <border/>
    </dxf>
    <dxf>
      <font/>
      <fill>
        <patternFill patternType="solid">
          <fgColor rgb="FF0B5394"/>
          <bgColor rgb="FF0B5394"/>
        </patternFill>
      </fill>
      <border/>
    </dxf>
    <dxf>
      <font>
        <b/>
        <color rgb="FFFFFFFF"/>
      </font>
      <fill>
        <patternFill patternType="solid">
          <fgColor rgb="FFA61C00"/>
          <bgColor rgb="FFA61C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0</xdr:row>
      <xdr:rowOff>0</xdr:rowOff>
    </xdr:from>
    <xdr:ext cx="1209675" cy="3333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0</xdr:row>
      <xdr:rowOff>0</xdr:rowOff>
    </xdr:from>
    <xdr:ext cx="1352550" cy="3810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24</xdr:row>
      <xdr:rowOff>161925</xdr:rowOff>
    </xdr:from>
    <xdr:ext cx="3067050" cy="22479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28575</xdr:colOff>
      <xdr:row>39</xdr:row>
      <xdr:rowOff>161925</xdr:rowOff>
    </xdr:from>
    <xdr:ext cx="3067050" cy="16192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0</xdr:row>
      <xdr:rowOff>0</xdr:rowOff>
    </xdr:from>
    <xdr:ext cx="1190625" cy="33337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vertex42.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youtu.be/8eKk0M2zGIk" TargetMode="External"/><Relationship Id="rId2" Type="http://schemas.openxmlformats.org/officeDocument/2006/relationships/hyperlink" Target="https://www.vertex42.com/ExcelTemplates/simple-gantt-chart.html"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42.38"/>
    <col customWidth="1" min="2" max="2" width="20.38"/>
    <col customWidth="1" min="3" max="3" width="3.88"/>
    <col customWidth="1" min="4" max="4" width="10.13"/>
    <col customWidth="1" min="5" max="5" width="11.38"/>
    <col customWidth="1" min="6" max="6" width="5.38"/>
    <col customWidth="1" min="7" max="7" width="11.38"/>
    <col customWidth="1" min="8" max="8" width="2.25"/>
    <col customWidth="1" min="9" max="64" width="2.13"/>
  </cols>
  <sheetData>
    <row r="1" ht="15.75" customHeight="1">
      <c r="A1" s="1" t="s">
        <v>0</v>
      </c>
      <c r="B1" s="2"/>
      <c r="C1" s="3"/>
      <c r="D1" s="3"/>
      <c r="E1" s="3"/>
      <c r="F1" s="3"/>
      <c r="G1" s="3"/>
      <c r="H1" s="3"/>
      <c r="I1" s="4" t="s">
        <v>1</v>
      </c>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row>
    <row r="2" ht="18.75" customHeight="1">
      <c r="A2" s="5" t="s">
        <v>2</v>
      </c>
      <c r="B2" s="6"/>
      <c r="C2" s="5"/>
      <c r="D2" s="5"/>
      <c r="E2" s="7"/>
      <c r="F2" s="8" t="s">
        <v>3</v>
      </c>
      <c r="G2" s="9">
        <v>46092.0</v>
      </c>
      <c r="H2" s="10"/>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row>
    <row r="3" ht="18.75" customHeight="1">
      <c r="A3" s="11" t="s">
        <v>4</v>
      </c>
      <c r="B3" s="12"/>
      <c r="C3" s="11"/>
      <c r="D3" s="11"/>
      <c r="E3" s="10"/>
      <c r="F3" s="13" t="s">
        <v>5</v>
      </c>
      <c r="G3" s="14">
        <v>1.0</v>
      </c>
      <c r="H3" s="10"/>
      <c r="I3" s="15">
        <f>I4</f>
        <v>46090</v>
      </c>
      <c r="J3" s="16"/>
      <c r="K3" s="16"/>
      <c r="L3" s="16"/>
      <c r="M3" s="16"/>
      <c r="N3" s="16"/>
      <c r="O3" s="17"/>
      <c r="P3" s="15">
        <f>P4</f>
        <v>46097</v>
      </c>
      <c r="Q3" s="16"/>
      <c r="R3" s="16"/>
      <c r="S3" s="16"/>
      <c r="T3" s="16"/>
      <c r="U3" s="16"/>
      <c r="V3" s="17"/>
      <c r="W3" s="15">
        <f>W4</f>
        <v>46104</v>
      </c>
      <c r="X3" s="16"/>
      <c r="Y3" s="16"/>
      <c r="Z3" s="16"/>
      <c r="AA3" s="16"/>
      <c r="AB3" s="16"/>
      <c r="AC3" s="17"/>
      <c r="AD3" s="15">
        <f>AD4</f>
        <v>46111</v>
      </c>
      <c r="AE3" s="16"/>
      <c r="AF3" s="16"/>
      <c r="AG3" s="16"/>
      <c r="AH3" s="16"/>
      <c r="AI3" s="16"/>
      <c r="AJ3" s="17"/>
      <c r="AK3" s="15">
        <f>AK4</f>
        <v>46118</v>
      </c>
      <c r="AL3" s="16"/>
      <c r="AM3" s="16"/>
      <c r="AN3" s="16"/>
      <c r="AO3" s="16"/>
      <c r="AP3" s="16"/>
      <c r="AQ3" s="17"/>
      <c r="AR3" s="15">
        <f>AR4</f>
        <v>46125</v>
      </c>
      <c r="AS3" s="16"/>
      <c r="AT3" s="16"/>
      <c r="AU3" s="16"/>
      <c r="AV3" s="16"/>
      <c r="AW3" s="16"/>
      <c r="AX3" s="17"/>
      <c r="AY3" s="15">
        <f>AY4</f>
        <v>46132</v>
      </c>
      <c r="AZ3" s="16"/>
      <c r="BA3" s="16"/>
      <c r="BB3" s="16"/>
      <c r="BC3" s="16"/>
      <c r="BD3" s="16"/>
      <c r="BE3" s="17"/>
      <c r="BF3" s="15">
        <f>BF4</f>
        <v>46139</v>
      </c>
      <c r="BG3" s="16"/>
      <c r="BH3" s="16"/>
      <c r="BI3" s="16"/>
      <c r="BJ3" s="16"/>
      <c r="BK3" s="16"/>
      <c r="BL3" s="17"/>
    </row>
    <row r="4" ht="18.75" customHeight="1">
      <c r="A4" s="18"/>
      <c r="B4" s="19"/>
      <c r="C4" s="19"/>
      <c r="D4" s="19"/>
      <c r="E4" s="19"/>
      <c r="F4" s="19"/>
      <c r="G4" s="19"/>
      <c r="H4" s="19"/>
      <c r="I4" s="20">
        <f>$G$2-WEEKDAY(G2,3)+(G3-1)*7</f>
        <v>46090</v>
      </c>
      <c r="J4" s="21">
        <f t="shared" ref="J4:BL4" si="1">I4+1</f>
        <v>46091</v>
      </c>
      <c r="K4" s="21">
        <f t="shared" si="1"/>
        <v>46092</v>
      </c>
      <c r="L4" s="21">
        <f t="shared" si="1"/>
        <v>46093</v>
      </c>
      <c r="M4" s="21">
        <f t="shared" si="1"/>
        <v>46094</v>
      </c>
      <c r="N4" s="21">
        <f t="shared" si="1"/>
        <v>46095</v>
      </c>
      <c r="O4" s="22">
        <f t="shared" si="1"/>
        <v>46096</v>
      </c>
      <c r="P4" s="20">
        <f t="shared" si="1"/>
        <v>46097</v>
      </c>
      <c r="Q4" s="21">
        <f t="shared" si="1"/>
        <v>46098</v>
      </c>
      <c r="R4" s="21">
        <f t="shared" si="1"/>
        <v>46099</v>
      </c>
      <c r="S4" s="21">
        <f t="shared" si="1"/>
        <v>46100</v>
      </c>
      <c r="T4" s="21">
        <f t="shared" si="1"/>
        <v>46101</v>
      </c>
      <c r="U4" s="21">
        <f t="shared" si="1"/>
        <v>46102</v>
      </c>
      <c r="V4" s="22">
        <f t="shared" si="1"/>
        <v>46103</v>
      </c>
      <c r="W4" s="20">
        <f t="shared" si="1"/>
        <v>46104</v>
      </c>
      <c r="X4" s="21">
        <f t="shared" si="1"/>
        <v>46105</v>
      </c>
      <c r="Y4" s="21">
        <f t="shared" si="1"/>
        <v>46106</v>
      </c>
      <c r="Z4" s="21">
        <f t="shared" si="1"/>
        <v>46107</v>
      </c>
      <c r="AA4" s="21">
        <f t="shared" si="1"/>
        <v>46108</v>
      </c>
      <c r="AB4" s="21">
        <f t="shared" si="1"/>
        <v>46109</v>
      </c>
      <c r="AC4" s="22">
        <f t="shared" si="1"/>
        <v>46110</v>
      </c>
      <c r="AD4" s="20">
        <f t="shared" si="1"/>
        <v>46111</v>
      </c>
      <c r="AE4" s="21">
        <f t="shared" si="1"/>
        <v>46112</v>
      </c>
      <c r="AF4" s="21">
        <f t="shared" si="1"/>
        <v>46113</v>
      </c>
      <c r="AG4" s="21">
        <f t="shared" si="1"/>
        <v>46114</v>
      </c>
      <c r="AH4" s="21">
        <f t="shared" si="1"/>
        <v>46115</v>
      </c>
      <c r="AI4" s="21">
        <f t="shared" si="1"/>
        <v>46116</v>
      </c>
      <c r="AJ4" s="22">
        <f t="shared" si="1"/>
        <v>46117</v>
      </c>
      <c r="AK4" s="20">
        <f t="shared" si="1"/>
        <v>46118</v>
      </c>
      <c r="AL4" s="21">
        <f t="shared" si="1"/>
        <v>46119</v>
      </c>
      <c r="AM4" s="21">
        <f t="shared" si="1"/>
        <v>46120</v>
      </c>
      <c r="AN4" s="21">
        <f t="shared" si="1"/>
        <v>46121</v>
      </c>
      <c r="AO4" s="21">
        <f t="shared" si="1"/>
        <v>46122</v>
      </c>
      <c r="AP4" s="21">
        <f t="shared" si="1"/>
        <v>46123</v>
      </c>
      <c r="AQ4" s="22">
        <f t="shared" si="1"/>
        <v>46124</v>
      </c>
      <c r="AR4" s="20">
        <f t="shared" si="1"/>
        <v>46125</v>
      </c>
      <c r="AS4" s="21">
        <f t="shared" si="1"/>
        <v>46126</v>
      </c>
      <c r="AT4" s="21">
        <f t="shared" si="1"/>
        <v>46127</v>
      </c>
      <c r="AU4" s="21">
        <f t="shared" si="1"/>
        <v>46128</v>
      </c>
      <c r="AV4" s="21">
        <f t="shared" si="1"/>
        <v>46129</v>
      </c>
      <c r="AW4" s="21">
        <f t="shared" si="1"/>
        <v>46130</v>
      </c>
      <c r="AX4" s="22">
        <f t="shared" si="1"/>
        <v>46131</v>
      </c>
      <c r="AY4" s="20">
        <f t="shared" si="1"/>
        <v>46132</v>
      </c>
      <c r="AZ4" s="21">
        <f t="shared" si="1"/>
        <v>46133</v>
      </c>
      <c r="BA4" s="21">
        <f t="shared" si="1"/>
        <v>46134</v>
      </c>
      <c r="BB4" s="21">
        <f t="shared" si="1"/>
        <v>46135</v>
      </c>
      <c r="BC4" s="21">
        <f t="shared" si="1"/>
        <v>46136</v>
      </c>
      <c r="BD4" s="21">
        <f t="shared" si="1"/>
        <v>46137</v>
      </c>
      <c r="BE4" s="22">
        <f t="shared" si="1"/>
        <v>46138</v>
      </c>
      <c r="BF4" s="20">
        <f t="shared" si="1"/>
        <v>46139</v>
      </c>
      <c r="BG4" s="21">
        <f t="shared" si="1"/>
        <v>46140</v>
      </c>
      <c r="BH4" s="21">
        <f t="shared" si="1"/>
        <v>46141</v>
      </c>
      <c r="BI4" s="21">
        <f t="shared" si="1"/>
        <v>46142</v>
      </c>
      <c r="BJ4" s="21">
        <f t="shared" si="1"/>
        <v>46143</v>
      </c>
      <c r="BK4" s="21">
        <f t="shared" si="1"/>
        <v>46144</v>
      </c>
      <c r="BL4" s="22">
        <f t="shared" si="1"/>
        <v>46145</v>
      </c>
    </row>
    <row r="5" ht="22.5" customHeight="1">
      <c r="A5" s="23" t="s">
        <v>6</v>
      </c>
      <c r="B5" s="24" t="s">
        <v>7</v>
      </c>
      <c r="C5" s="25" t="s">
        <v>8</v>
      </c>
      <c r="D5" s="26"/>
      <c r="E5" s="24" t="s">
        <v>9</v>
      </c>
      <c r="F5" s="24" t="s">
        <v>10</v>
      </c>
      <c r="G5" s="24" t="s">
        <v>11</v>
      </c>
      <c r="H5" s="24"/>
      <c r="I5" s="27" t="str">
        <f t="shared" ref="I5:BL5" si="2">LEFT(TEXT(I4,"ddd"),1)</f>
        <v>l</v>
      </c>
      <c r="J5" s="27" t="str">
        <f t="shared" si="2"/>
        <v>m</v>
      </c>
      <c r="K5" s="27" t="str">
        <f t="shared" si="2"/>
        <v>m</v>
      </c>
      <c r="L5" s="27" t="str">
        <f t="shared" si="2"/>
        <v>j</v>
      </c>
      <c r="M5" s="27" t="str">
        <f t="shared" si="2"/>
        <v>v</v>
      </c>
      <c r="N5" s="27" t="str">
        <f t="shared" si="2"/>
        <v>s</v>
      </c>
      <c r="O5" s="27" t="str">
        <f t="shared" si="2"/>
        <v>d</v>
      </c>
      <c r="P5" s="27" t="str">
        <f t="shared" si="2"/>
        <v>l</v>
      </c>
      <c r="Q5" s="27" t="str">
        <f t="shared" si="2"/>
        <v>m</v>
      </c>
      <c r="R5" s="27" t="str">
        <f t="shared" si="2"/>
        <v>m</v>
      </c>
      <c r="S5" s="27" t="str">
        <f t="shared" si="2"/>
        <v>j</v>
      </c>
      <c r="T5" s="27" t="str">
        <f t="shared" si="2"/>
        <v>v</v>
      </c>
      <c r="U5" s="27" t="str">
        <f t="shared" si="2"/>
        <v>s</v>
      </c>
      <c r="V5" s="27" t="str">
        <f t="shared" si="2"/>
        <v>d</v>
      </c>
      <c r="W5" s="27" t="str">
        <f t="shared" si="2"/>
        <v>l</v>
      </c>
      <c r="X5" s="27" t="str">
        <f t="shared" si="2"/>
        <v>m</v>
      </c>
      <c r="Y5" s="27" t="str">
        <f t="shared" si="2"/>
        <v>m</v>
      </c>
      <c r="Z5" s="27" t="str">
        <f t="shared" si="2"/>
        <v>j</v>
      </c>
      <c r="AA5" s="27" t="str">
        <f t="shared" si="2"/>
        <v>v</v>
      </c>
      <c r="AB5" s="27" t="str">
        <f t="shared" si="2"/>
        <v>s</v>
      </c>
      <c r="AC5" s="27" t="str">
        <f t="shared" si="2"/>
        <v>d</v>
      </c>
      <c r="AD5" s="27" t="str">
        <f t="shared" si="2"/>
        <v>l</v>
      </c>
      <c r="AE5" s="27" t="str">
        <f t="shared" si="2"/>
        <v>m</v>
      </c>
      <c r="AF5" s="27" t="str">
        <f t="shared" si="2"/>
        <v>m</v>
      </c>
      <c r="AG5" s="27" t="str">
        <f t="shared" si="2"/>
        <v>j</v>
      </c>
      <c r="AH5" s="27" t="str">
        <f t="shared" si="2"/>
        <v>v</v>
      </c>
      <c r="AI5" s="27" t="str">
        <f t="shared" si="2"/>
        <v>s</v>
      </c>
      <c r="AJ5" s="27" t="str">
        <f t="shared" si="2"/>
        <v>d</v>
      </c>
      <c r="AK5" s="27" t="str">
        <f t="shared" si="2"/>
        <v>l</v>
      </c>
      <c r="AL5" s="27" t="str">
        <f t="shared" si="2"/>
        <v>m</v>
      </c>
      <c r="AM5" s="27" t="str">
        <f t="shared" si="2"/>
        <v>m</v>
      </c>
      <c r="AN5" s="27" t="str">
        <f t="shared" si="2"/>
        <v>j</v>
      </c>
      <c r="AO5" s="27" t="str">
        <f t="shared" si="2"/>
        <v>v</v>
      </c>
      <c r="AP5" s="27" t="str">
        <f t="shared" si="2"/>
        <v>s</v>
      </c>
      <c r="AQ5" s="27" t="str">
        <f t="shared" si="2"/>
        <v>d</v>
      </c>
      <c r="AR5" s="27" t="str">
        <f t="shared" si="2"/>
        <v>l</v>
      </c>
      <c r="AS5" s="27" t="str">
        <f t="shared" si="2"/>
        <v>m</v>
      </c>
      <c r="AT5" s="27" t="str">
        <f t="shared" si="2"/>
        <v>m</v>
      </c>
      <c r="AU5" s="27" t="str">
        <f t="shared" si="2"/>
        <v>j</v>
      </c>
      <c r="AV5" s="27" t="str">
        <f t="shared" si="2"/>
        <v>v</v>
      </c>
      <c r="AW5" s="27" t="str">
        <f t="shared" si="2"/>
        <v>s</v>
      </c>
      <c r="AX5" s="27" t="str">
        <f t="shared" si="2"/>
        <v>d</v>
      </c>
      <c r="AY5" s="27" t="str">
        <f t="shared" si="2"/>
        <v>l</v>
      </c>
      <c r="AZ5" s="27" t="str">
        <f t="shared" si="2"/>
        <v>m</v>
      </c>
      <c r="BA5" s="27" t="str">
        <f t="shared" si="2"/>
        <v>m</v>
      </c>
      <c r="BB5" s="27" t="str">
        <f t="shared" si="2"/>
        <v>j</v>
      </c>
      <c r="BC5" s="27" t="str">
        <f t="shared" si="2"/>
        <v>v</v>
      </c>
      <c r="BD5" s="27" t="str">
        <f t="shared" si="2"/>
        <v>s</v>
      </c>
      <c r="BE5" s="27" t="str">
        <f t="shared" si="2"/>
        <v>d</v>
      </c>
      <c r="BF5" s="27" t="str">
        <f t="shared" si="2"/>
        <v>l</v>
      </c>
      <c r="BG5" s="27" t="str">
        <f t="shared" si="2"/>
        <v>m</v>
      </c>
      <c r="BH5" s="27" t="str">
        <f t="shared" si="2"/>
        <v>m</v>
      </c>
      <c r="BI5" s="27" t="str">
        <f t="shared" si="2"/>
        <v>j</v>
      </c>
      <c r="BJ5" s="27" t="str">
        <f t="shared" si="2"/>
        <v>v</v>
      </c>
      <c r="BK5" s="27" t="str">
        <f t="shared" si="2"/>
        <v>s</v>
      </c>
      <c r="BL5" s="27" t="str">
        <f t="shared" si="2"/>
        <v>d</v>
      </c>
    </row>
    <row r="6" ht="15.75" customHeight="1">
      <c r="A6" s="28" t="s">
        <v>12</v>
      </c>
      <c r="B6" s="29"/>
      <c r="C6" s="30">
        <v>1.0</v>
      </c>
      <c r="D6" s="31" t="str">
        <f>IFERROR(__xludf.DUMMYFUNCTION("IFERROR(SPARKLINE(C6,{""charttype"",""bar"";""color1"",""gray"";""max"",1}),""-"")"),"")</f>
        <v/>
      </c>
      <c r="E6" s="32"/>
      <c r="F6" s="33"/>
      <c r="G6" s="32"/>
      <c r="H6" s="34"/>
      <c r="I6" s="34"/>
      <c r="J6" s="34"/>
      <c r="K6" s="34"/>
      <c r="L6" s="34"/>
      <c r="M6" s="34"/>
      <c r="N6" s="34"/>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row>
    <row r="7" ht="15.75" customHeight="1">
      <c r="A7" s="35" t="s">
        <v>13</v>
      </c>
      <c r="B7" s="36" t="s">
        <v>14</v>
      </c>
      <c r="C7" s="37">
        <v>1.0</v>
      </c>
      <c r="D7" s="38" t="str">
        <f>IFERROR(__xludf.DUMMYFUNCTION("IFERROR(SPARKLINE(C7,{""charttype"",""bar"";""color1"",""gray"";""max"",1}),""-"")"),"")</f>
        <v/>
      </c>
      <c r="E7" s="39">
        <v>46092.0</v>
      </c>
      <c r="F7" s="40">
        <v>4.0</v>
      </c>
      <c r="G7" s="39">
        <f t="shared" ref="G7:G29" si="3">E7+F7-1</f>
        <v>46095</v>
      </c>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c r="BL7" s="36"/>
    </row>
    <row r="8" ht="15.75" customHeight="1">
      <c r="A8" s="35" t="s">
        <v>15</v>
      </c>
      <c r="B8" s="36" t="s">
        <v>16</v>
      </c>
      <c r="C8" s="37">
        <v>1.0</v>
      </c>
      <c r="D8" s="38" t="str">
        <f>IFERROR(__xludf.DUMMYFUNCTION("IFERROR(SPARKLINE(C8,{""charttype"",""bar"";""color1"",""gray"";""max"",1}),""-"")"),"")</f>
        <v/>
      </c>
      <c r="E8" s="39">
        <v>46096.0</v>
      </c>
      <c r="F8" s="40">
        <v>1.0</v>
      </c>
      <c r="G8" s="39">
        <f t="shared" si="3"/>
        <v>46096</v>
      </c>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row>
    <row r="9" ht="15.75" customHeight="1">
      <c r="A9" s="35" t="s">
        <v>17</v>
      </c>
      <c r="B9" s="36" t="s">
        <v>16</v>
      </c>
      <c r="C9" s="37">
        <v>1.0</v>
      </c>
      <c r="D9" s="38" t="str">
        <f>IFERROR(__xludf.DUMMYFUNCTION("IFERROR(SPARKLINE(C9,{""charttype"",""bar"";""color1"",""gray"";""max"",1}),""-"")"),"")</f>
        <v/>
      </c>
      <c r="E9" s="39">
        <v>46097.0</v>
      </c>
      <c r="F9" s="40">
        <v>1.0</v>
      </c>
      <c r="G9" s="39">
        <f t="shared" si="3"/>
        <v>46097</v>
      </c>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B9" s="36"/>
      <c r="BC9" s="36"/>
      <c r="BD9" s="36"/>
      <c r="BE9" s="36"/>
      <c r="BF9" s="36"/>
      <c r="BG9" s="36"/>
      <c r="BH9" s="36"/>
      <c r="BI9" s="36"/>
      <c r="BJ9" s="36"/>
      <c r="BK9" s="36"/>
      <c r="BL9" s="36"/>
    </row>
    <row r="10" ht="15.75" customHeight="1">
      <c r="A10" s="35" t="s">
        <v>18</v>
      </c>
      <c r="B10" s="36" t="s">
        <v>16</v>
      </c>
      <c r="C10" s="37">
        <v>1.0</v>
      </c>
      <c r="D10" s="38" t="str">
        <f>IFERROR(__xludf.DUMMYFUNCTION("IFERROR(SPARKLINE(C10,{""charttype"",""bar"";""color1"",""gray"";""max"",1}),""-"")"),"")</f>
        <v/>
      </c>
      <c r="E10" s="39">
        <v>46098.0</v>
      </c>
      <c r="F10" s="40">
        <v>1.0</v>
      </c>
      <c r="G10" s="39">
        <f t="shared" si="3"/>
        <v>46098</v>
      </c>
      <c r="H10" s="36"/>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row>
    <row r="11" ht="15.75" customHeight="1">
      <c r="A11" s="35" t="s">
        <v>19</v>
      </c>
      <c r="B11" s="36" t="s">
        <v>20</v>
      </c>
      <c r="C11" s="37">
        <v>1.0</v>
      </c>
      <c r="D11" s="38" t="str">
        <f>IFERROR(__xludf.DUMMYFUNCTION("IFERROR(SPARKLINE(C11,{""charttype"",""bar"";""color1"",""gray"";""max"",1}),""-"")"),"")</f>
        <v/>
      </c>
      <c r="E11" s="39">
        <v>46099.0</v>
      </c>
      <c r="F11" s="40">
        <v>1.0</v>
      </c>
      <c r="G11" s="39">
        <f t="shared" si="3"/>
        <v>46099</v>
      </c>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6"/>
      <c r="BJ11" s="36"/>
      <c r="BK11" s="36"/>
      <c r="BL11" s="36"/>
    </row>
    <row r="12" ht="15.75" customHeight="1">
      <c r="A12" s="35" t="s">
        <v>21</v>
      </c>
      <c r="B12" s="36" t="s">
        <v>22</v>
      </c>
      <c r="C12" s="37">
        <v>1.0</v>
      </c>
      <c r="D12" s="38" t="str">
        <f>IFERROR(__xludf.DUMMYFUNCTION("IFERROR(SPARKLINE(C12,{""charttype"",""bar"";""color1"",""gray"";""max"",1}),""-"")"),"")</f>
        <v/>
      </c>
      <c r="E12" s="39">
        <v>46100.0</v>
      </c>
      <c r="F12" s="40">
        <v>1.0</v>
      </c>
      <c r="G12" s="39">
        <f t="shared" si="3"/>
        <v>46100</v>
      </c>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row>
    <row r="13" ht="15.75" customHeight="1">
      <c r="A13" s="35" t="s">
        <v>23</v>
      </c>
      <c r="B13" s="36" t="s">
        <v>14</v>
      </c>
      <c r="C13" s="37">
        <v>1.0</v>
      </c>
      <c r="D13" s="38" t="str">
        <f>IFERROR(__xludf.DUMMYFUNCTION("IFERROR(SPARKLINE(C13,{""charttype"",""bar"";""color1"",""gray"";""max"",1}),""-"")"),"")</f>
        <v/>
      </c>
      <c r="E13" s="39">
        <v>46101.0</v>
      </c>
      <c r="F13" s="40">
        <v>1.0</v>
      </c>
      <c r="G13" s="39">
        <f t="shared" si="3"/>
        <v>46101</v>
      </c>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36"/>
      <c r="BC13" s="36"/>
      <c r="BD13" s="36"/>
      <c r="BE13" s="36"/>
      <c r="BF13" s="36"/>
      <c r="BG13" s="36"/>
      <c r="BH13" s="36"/>
      <c r="BI13" s="36"/>
      <c r="BJ13" s="36"/>
      <c r="BK13" s="36"/>
      <c r="BL13" s="36"/>
    </row>
    <row r="14" ht="15.75" customHeight="1">
      <c r="A14" s="35" t="s">
        <v>24</v>
      </c>
      <c r="B14" s="36" t="s">
        <v>16</v>
      </c>
      <c r="C14" s="37">
        <v>1.0</v>
      </c>
      <c r="D14" s="38" t="str">
        <f>IFERROR(__xludf.DUMMYFUNCTION("IFERROR(SPARKLINE(C14,{""charttype"",""bar"";""color1"",""gray"";""max"",1}),""-"")"),"")</f>
        <v/>
      </c>
      <c r="E14" s="39">
        <v>46101.0</v>
      </c>
      <c r="F14" s="40">
        <v>2.0</v>
      </c>
      <c r="G14" s="39">
        <f t="shared" si="3"/>
        <v>46102</v>
      </c>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row>
    <row r="15" ht="15.75" customHeight="1">
      <c r="A15" s="35" t="s">
        <v>25</v>
      </c>
      <c r="B15" s="36" t="s">
        <v>16</v>
      </c>
      <c r="C15" s="37">
        <v>1.0</v>
      </c>
      <c r="D15" s="38" t="str">
        <f>IFERROR(__xludf.DUMMYFUNCTION("IFERROR(SPARKLINE(C15,{""charttype"",""bar"";""color1"",""gray"";""max"",1}),""-"")"),"")</f>
        <v/>
      </c>
      <c r="E15" s="39">
        <v>46102.0</v>
      </c>
      <c r="F15" s="40">
        <v>1.0</v>
      </c>
      <c r="G15" s="39">
        <f t="shared" si="3"/>
        <v>46102</v>
      </c>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row>
    <row r="16" ht="15.75" customHeight="1">
      <c r="A16" s="35" t="s">
        <v>26</v>
      </c>
      <c r="B16" s="36" t="s">
        <v>14</v>
      </c>
      <c r="C16" s="37">
        <v>1.0</v>
      </c>
      <c r="D16" s="38" t="str">
        <f>IFERROR(__xludf.DUMMYFUNCTION("IFERROR(SPARKLINE(C16,{""charttype"",""bar"";""color1"",""gray"";""max"",1}),""-"")"),"")</f>
        <v/>
      </c>
      <c r="E16" s="39">
        <v>46103.0</v>
      </c>
      <c r="F16" s="40">
        <v>2.0</v>
      </c>
      <c r="G16" s="39">
        <f t="shared" si="3"/>
        <v>46104</v>
      </c>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row>
    <row r="17" ht="15.75" customHeight="1">
      <c r="A17" s="35" t="s">
        <v>27</v>
      </c>
      <c r="B17" s="36" t="s">
        <v>16</v>
      </c>
      <c r="C17" s="37">
        <v>1.0</v>
      </c>
      <c r="D17" s="38" t="str">
        <f>IFERROR(__xludf.DUMMYFUNCTION("IFERROR(SPARKLINE(C17,{""charttype"",""bar"";""color1"",""gray"";""max"",1}),""-"")"),"")</f>
        <v/>
      </c>
      <c r="E17" s="39">
        <v>46105.0</v>
      </c>
      <c r="F17" s="40">
        <v>2.0</v>
      </c>
      <c r="G17" s="39">
        <f t="shared" si="3"/>
        <v>46106</v>
      </c>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row>
    <row r="18" ht="15.75" customHeight="1">
      <c r="A18" s="35" t="s">
        <v>28</v>
      </c>
      <c r="B18" s="36" t="s">
        <v>14</v>
      </c>
      <c r="C18" s="37">
        <v>1.0</v>
      </c>
      <c r="D18" s="38" t="str">
        <f>IFERROR(__xludf.DUMMYFUNCTION("IFERROR(SPARKLINE(C18,{""charttype"",""bar"";""color1"",""gray"";""max"",1}),""-"")"),"")</f>
        <v/>
      </c>
      <c r="E18" s="39">
        <v>46107.0</v>
      </c>
      <c r="F18" s="40">
        <v>1.0</v>
      </c>
      <c r="G18" s="39">
        <f t="shared" si="3"/>
        <v>46107</v>
      </c>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row>
    <row r="19" ht="15.75" customHeight="1">
      <c r="A19" s="35" t="s">
        <v>29</v>
      </c>
      <c r="B19" s="36" t="s">
        <v>14</v>
      </c>
      <c r="C19" s="37">
        <v>1.0</v>
      </c>
      <c r="D19" s="38" t="str">
        <f>IFERROR(__xludf.DUMMYFUNCTION("IFERROR(SPARKLINE(C19,{""charttype"",""bar"";""color1"",""gray"";""max"",1}),""-"")"),"")</f>
        <v/>
      </c>
      <c r="E19" s="39">
        <v>46108.0</v>
      </c>
      <c r="F19" s="40">
        <v>1.0</v>
      </c>
      <c r="G19" s="39">
        <f t="shared" si="3"/>
        <v>46108</v>
      </c>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36"/>
      <c r="BK19" s="36"/>
      <c r="BL19" s="36"/>
    </row>
    <row r="20" ht="15.75" customHeight="1">
      <c r="A20" s="35" t="s">
        <v>30</v>
      </c>
      <c r="B20" s="36" t="s">
        <v>22</v>
      </c>
      <c r="C20" s="37">
        <v>1.0</v>
      </c>
      <c r="D20" s="38" t="str">
        <f>IFERROR(__xludf.DUMMYFUNCTION("IFERROR(SPARKLINE(C20,{""charttype"",""bar"";""color1"",""gray"";""max"",1}),""-"")"),"")</f>
        <v/>
      </c>
      <c r="E20" s="39">
        <v>46108.0</v>
      </c>
      <c r="F20" s="40">
        <v>1.0</v>
      </c>
      <c r="G20" s="39">
        <f t="shared" si="3"/>
        <v>46108</v>
      </c>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row>
    <row r="21" ht="15.75" customHeight="1">
      <c r="A21" s="35" t="s">
        <v>31</v>
      </c>
      <c r="B21" s="36" t="s">
        <v>14</v>
      </c>
      <c r="C21" s="37">
        <v>1.0</v>
      </c>
      <c r="D21" s="38" t="str">
        <f>IFERROR(__xludf.DUMMYFUNCTION("IFERROR(SPARKLINE(C21,{""charttype"",""bar"";""color1"",""gray"";""max"",1}),""-"")"),"")</f>
        <v/>
      </c>
      <c r="E21" s="39">
        <v>46108.0</v>
      </c>
      <c r="F21" s="40">
        <v>2.0</v>
      </c>
      <c r="G21" s="39">
        <f t="shared" si="3"/>
        <v>46109</v>
      </c>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row>
    <row r="22" ht="15.75" customHeight="1">
      <c r="A22" s="35" t="s">
        <v>32</v>
      </c>
      <c r="B22" s="36" t="s">
        <v>20</v>
      </c>
      <c r="C22" s="37">
        <v>1.0</v>
      </c>
      <c r="D22" s="38" t="str">
        <f>IFERROR(__xludf.DUMMYFUNCTION("IFERROR(SPARKLINE(C22,{""charttype"",""bar"";""color1"",""gray"";""max"",1}),""-"")"),"")</f>
        <v/>
      </c>
      <c r="E22" s="39">
        <v>46109.0</v>
      </c>
      <c r="F22" s="40">
        <v>1.0</v>
      </c>
      <c r="G22" s="39">
        <f t="shared" si="3"/>
        <v>46109</v>
      </c>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row>
    <row r="23" ht="15.75" customHeight="1">
      <c r="A23" s="35" t="s">
        <v>33</v>
      </c>
      <c r="B23" s="36" t="s">
        <v>14</v>
      </c>
      <c r="C23" s="37">
        <v>1.0</v>
      </c>
      <c r="D23" s="38" t="str">
        <f>IFERROR(__xludf.DUMMYFUNCTION("IFERROR(SPARKLINE(C23,{""charttype"",""bar"";""color1"",""gray"";""max"",1}),""-"")"),"")</f>
        <v/>
      </c>
      <c r="E23" s="39">
        <v>46109.0</v>
      </c>
      <c r="F23" s="40">
        <v>2.0</v>
      </c>
      <c r="G23" s="39">
        <f t="shared" si="3"/>
        <v>46110</v>
      </c>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row>
    <row r="24" ht="15.75" customHeight="1">
      <c r="A24" s="35" t="s">
        <v>34</v>
      </c>
      <c r="B24" s="36" t="s">
        <v>22</v>
      </c>
      <c r="C24" s="37">
        <v>1.0</v>
      </c>
      <c r="D24" s="38" t="str">
        <f>IFERROR(__xludf.DUMMYFUNCTION("IFERROR(SPARKLINE(C24,{""charttype"",""bar"";""color1"",""gray"";""max"",1}),""-"")"),"")</f>
        <v/>
      </c>
      <c r="E24" s="39">
        <v>46110.0</v>
      </c>
      <c r="F24" s="40">
        <v>1.0</v>
      </c>
      <c r="G24" s="39">
        <f t="shared" si="3"/>
        <v>46110</v>
      </c>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row>
    <row r="25" ht="15.75" customHeight="1">
      <c r="A25" s="35" t="s">
        <v>35</v>
      </c>
      <c r="B25" s="36" t="s">
        <v>20</v>
      </c>
      <c r="C25" s="37">
        <v>1.0</v>
      </c>
      <c r="D25" s="38" t="str">
        <f>IFERROR(__xludf.DUMMYFUNCTION("IFERROR(SPARKLINE(C25,{""charttype"",""bar"";""color1"",""gray"";""max"",1}),""-"")"),"")</f>
        <v/>
      </c>
      <c r="E25" s="39">
        <v>46110.0</v>
      </c>
      <c r="F25" s="40">
        <v>2.0</v>
      </c>
      <c r="G25" s="39">
        <f t="shared" si="3"/>
        <v>46111</v>
      </c>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row>
    <row r="26" ht="15.75" customHeight="1">
      <c r="A26" s="35" t="s">
        <v>36</v>
      </c>
      <c r="B26" s="36" t="s">
        <v>14</v>
      </c>
      <c r="C26" s="37">
        <v>1.0</v>
      </c>
      <c r="D26" s="38" t="str">
        <f>IFERROR(__xludf.DUMMYFUNCTION("IFERROR(SPARKLINE(C26,{""charttype"",""bar"";""color1"",""gray"";""max"",1}),""-"")"),"")</f>
        <v/>
      </c>
      <c r="E26" s="39">
        <v>46111.0</v>
      </c>
      <c r="F26" s="40">
        <v>1.0</v>
      </c>
      <c r="G26" s="39">
        <f t="shared" si="3"/>
        <v>46111</v>
      </c>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row>
    <row r="27" ht="15.75" customHeight="1">
      <c r="A27" s="35" t="s">
        <v>37</v>
      </c>
      <c r="B27" s="36" t="s">
        <v>22</v>
      </c>
      <c r="C27" s="37">
        <v>1.0</v>
      </c>
      <c r="D27" s="38" t="str">
        <f>IFERROR(__xludf.DUMMYFUNCTION("IFERROR(SPARKLINE(C27,{""charttype"",""bar"";""color1"",""gray"";""max"",1}),""-"")"),"")</f>
        <v/>
      </c>
      <c r="E27" s="39">
        <v>46111.0</v>
      </c>
      <c r="F27" s="40">
        <v>1.0</v>
      </c>
      <c r="G27" s="39">
        <f t="shared" si="3"/>
        <v>46111</v>
      </c>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36"/>
      <c r="BK27" s="36"/>
      <c r="BL27" s="36"/>
    </row>
    <row r="28" ht="15.75" customHeight="1">
      <c r="A28" s="35" t="s">
        <v>38</v>
      </c>
      <c r="B28" s="36" t="s">
        <v>20</v>
      </c>
      <c r="C28" s="37">
        <v>1.0</v>
      </c>
      <c r="D28" s="38" t="str">
        <f>IFERROR(__xludf.DUMMYFUNCTION("IFERROR(SPARKLINE(C28,{""charttype"",""bar"";""color1"",""gray"";""max"",1}),""-"")"),"")</f>
        <v/>
      </c>
      <c r="E28" s="39">
        <v>46111.0</v>
      </c>
      <c r="F28" s="40">
        <v>2.0</v>
      </c>
      <c r="G28" s="39">
        <f t="shared" si="3"/>
        <v>46112</v>
      </c>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row>
    <row r="29" ht="15.75" customHeight="1">
      <c r="A29" s="35" t="s">
        <v>39</v>
      </c>
      <c r="B29" s="36" t="s">
        <v>16</v>
      </c>
      <c r="C29" s="37">
        <v>1.0</v>
      </c>
      <c r="D29" s="38" t="str">
        <f>IFERROR(__xludf.DUMMYFUNCTION("IFERROR(SPARKLINE(C29,{""charttype"",""bar"";""color1"",""gray"";""max"",1}),""-"")"),"")</f>
        <v/>
      </c>
      <c r="E29" s="39">
        <v>46112.0</v>
      </c>
      <c r="F29" s="40">
        <v>1.0</v>
      </c>
      <c r="G29" s="39">
        <f t="shared" si="3"/>
        <v>46112</v>
      </c>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6"/>
      <c r="BH29" s="36"/>
      <c r="BI29" s="36"/>
      <c r="BJ29" s="36"/>
      <c r="BK29" s="36"/>
      <c r="BL29" s="36"/>
    </row>
    <row r="30" ht="15.75" customHeight="1">
      <c r="A30" s="28" t="s">
        <v>40</v>
      </c>
      <c r="B30" s="29"/>
      <c r="C30" s="30">
        <v>0.0</v>
      </c>
      <c r="D30" s="41" t="str">
        <f>IFERROR(__xludf.DUMMYFUNCTION("IFERROR(SPARKLINE(C30,{""charttype"",""bar"";""color1"",""gray"";""max"",1}),""-"")"),"")</f>
        <v/>
      </c>
      <c r="E30" s="32"/>
      <c r="F30" s="33"/>
      <c r="G30" s="32"/>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4"/>
      <c r="BK30" s="34"/>
      <c r="BL30" s="34"/>
    </row>
    <row r="31" ht="15.75" customHeight="1">
      <c r="A31" s="35" t="s">
        <v>41</v>
      </c>
      <c r="B31" s="36" t="s">
        <v>16</v>
      </c>
      <c r="C31" s="37">
        <v>0.0</v>
      </c>
      <c r="D31" s="38" t="str">
        <f>IFERROR(__xludf.DUMMYFUNCTION("IFERROR(SPARKLINE(C31,{""charttype"",""bar"";""color1"",""gray"";""max"",1}),""-"")"),"")</f>
        <v/>
      </c>
      <c r="E31" s="39">
        <f>G29+1</f>
        <v>46113</v>
      </c>
      <c r="F31" s="40">
        <v>2.0</v>
      </c>
      <c r="G31" s="39">
        <f t="shared" ref="G31:G46" si="4">E31+F31-1</f>
        <v>46114</v>
      </c>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c r="AY31" s="36"/>
      <c r="AZ31" s="36"/>
      <c r="BA31" s="36"/>
      <c r="BB31" s="36"/>
      <c r="BC31" s="36"/>
      <c r="BD31" s="36"/>
      <c r="BE31" s="36"/>
      <c r="BF31" s="36"/>
      <c r="BG31" s="36"/>
      <c r="BH31" s="36"/>
      <c r="BI31" s="36"/>
      <c r="BJ31" s="36"/>
      <c r="BK31" s="36"/>
      <c r="BL31" s="36"/>
    </row>
    <row r="32" ht="15.75" customHeight="1">
      <c r="A32" s="35" t="s">
        <v>42</v>
      </c>
      <c r="B32" s="36" t="s">
        <v>16</v>
      </c>
      <c r="C32" s="37">
        <v>0.0</v>
      </c>
      <c r="D32" s="38" t="str">
        <f>IFERROR(__xludf.DUMMYFUNCTION("IFERROR(SPARKLINE(C32,{""charttype"",""bar"";""color1"",""gray"";""max"",1}),""-"")"),"")</f>
        <v/>
      </c>
      <c r="E32" s="39">
        <f t="shared" ref="E32:E46" si="5">G31+1</f>
        <v>46115</v>
      </c>
      <c r="F32" s="40">
        <v>2.0</v>
      </c>
      <c r="G32" s="39">
        <f t="shared" si="4"/>
        <v>46116</v>
      </c>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row>
    <row r="33" ht="15.75" customHeight="1">
      <c r="A33" s="35" t="s">
        <v>43</v>
      </c>
      <c r="B33" s="36" t="s">
        <v>44</v>
      </c>
      <c r="C33" s="37">
        <v>0.0</v>
      </c>
      <c r="D33" s="38" t="str">
        <f>IFERROR(__xludf.DUMMYFUNCTION("IFERROR(SPARKLINE(C33,{""charttype"",""bar"";""color1"",""gray"";""max"",1}),""-"")"),"")</f>
        <v/>
      </c>
      <c r="E33" s="39">
        <f t="shared" si="5"/>
        <v>46117</v>
      </c>
      <c r="F33" s="40">
        <v>3.0</v>
      </c>
      <c r="G33" s="39">
        <f t="shared" si="4"/>
        <v>46119</v>
      </c>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row>
    <row r="34" ht="15.75" customHeight="1">
      <c r="A34" s="35" t="s">
        <v>45</v>
      </c>
      <c r="B34" s="36" t="s">
        <v>14</v>
      </c>
      <c r="C34" s="37">
        <v>0.0</v>
      </c>
      <c r="D34" s="38" t="str">
        <f>IFERROR(__xludf.DUMMYFUNCTION("IFERROR(SPARKLINE(C34,{""charttype"",""bar"";""color1"",""gray"";""max"",1}),""-"")"),"")</f>
        <v/>
      </c>
      <c r="E34" s="39">
        <f t="shared" si="5"/>
        <v>46120</v>
      </c>
      <c r="F34" s="40">
        <v>3.0</v>
      </c>
      <c r="G34" s="39">
        <f t="shared" si="4"/>
        <v>46122</v>
      </c>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row>
    <row r="35" ht="15.75" customHeight="1">
      <c r="A35" s="35" t="s">
        <v>46</v>
      </c>
      <c r="B35" s="36" t="s">
        <v>22</v>
      </c>
      <c r="C35" s="37">
        <v>0.0</v>
      </c>
      <c r="D35" s="38" t="str">
        <f>IFERROR(__xludf.DUMMYFUNCTION("IFERROR(SPARKLINE(C35,{""charttype"",""bar"";""color1"",""gray"";""max"",1}),""-"")"),"")</f>
        <v/>
      </c>
      <c r="E35" s="39">
        <f t="shared" si="5"/>
        <v>46123</v>
      </c>
      <c r="F35" s="40">
        <v>3.0</v>
      </c>
      <c r="G35" s="39">
        <f t="shared" si="4"/>
        <v>46125</v>
      </c>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6"/>
      <c r="AY35" s="36"/>
      <c r="AZ35" s="36"/>
      <c r="BA35" s="36"/>
      <c r="BB35" s="36"/>
      <c r="BC35" s="36"/>
      <c r="BD35" s="36"/>
      <c r="BE35" s="36"/>
      <c r="BF35" s="36"/>
      <c r="BG35" s="36"/>
      <c r="BH35" s="36"/>
      <c r="BI35" s="36"/>
      <c r="BJ35" s="36"/>
      <c r="BK35" s="36"/>
      <c r="BL35" s="36"/>
    </row>
    <row r="36" ht="15.75" customHeight="1">
      <c r="A36" s="35" t="s">
        <v>47</v>
      </c>
      <c r="B36" s="36" t="s">
        <v>14</v>
      </c>
      <c r="C36" s="37">
        <v>0.0</v>
      </c>
      <c r="D36" s="38" t="str">
        <f>IFERROR(__xludf.DUMMYFUNCTION("IFERROR(SPARKLINE(C36,{""charttype"",""bar"";""color1"",""gray"";""max"",1}),""-"")"),"")</f>
        <v/>
      </c>
      <c r="E36" s="39">
        <f t="shared" si="5"/>
        <v>46126</v>
      </c>
      <c r="F36" s="40">
        <v>3.0</v>
      </c>
      <c r="G36" s="39">
        <f t="shared" si="4"/>
        <v>46128</v>
      </c>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row>
    <row r="37" ht="15.75" customHeight="1">
      <c r="A37" s="35" t="s">
        <v>48</v>
      </c>
      <c r="B37" s="36" t="s">
        <v>22</v>
      </c>
      <c r="C37" s="37">
        <v>0.0</v>
      </c>
      <c r="D37" s="38" t="str">
        <f>IFERROR(__xludf.DUMMYFUNCTION("IFERROR(SPARKLINE(C37,{""charttype"",""bar"";""color1"",""gray"";""max"",1}),""-"")"),"")</f>
        <v/>
      </c>
      <c r="E37" s="39">
        <f t="shared" si="5"/>
        <v>46129</v>
      </c>
      <c r="F37" s="40">
        <v>3.0</v>
      </c>
      <c r="G37" s="39">
        <f t="shared" si="4"/>
        <v>46131</v>
      </c>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c r="AZ37" s="36"/>
      <c r="BA37" s="36"/>
      <c r="BB37" s="36"/>
      <c r="BC37" s="36"/>
      <c r="BD37" s="36"/>
      <c r="BE37" s="36"/>
      <c r="BF37" s="36"/>
      <c r="BG37" s="36"/>
      <c r="BH37" s="36"/>
      <c r="BI37" s="36"/>
      <c r="BJ37" s="36"/>
      <c r="BK37" s="36"/>
      <c r="BL37" s="36"/>
    </row>
    <row r="38" ht="15.75" customHeight="1">
      <c r="A38" s="35" t="s">
        <v>49</v>
      </c>
      <c r="B38" s="36" t="s">
        <v>44</v>
      </c>
      <c r="C38" s="37">
        <v>0.0</v>
      </c>
      <c r="D38" s="38" t="str">
        <f>IFERROR(__xludf.DUMMYFUNCTION("IFERROR(SPARKLINE(C38,{""charttype"",""bar"";""color1"",""gray"";""max"",1}),""-"")"),"")</f>
        <v/>
      </c>
      <c r="E38" s="39">
        <f t="shared" si="5"/>
        <v>46132</v>
      </c>
      <c r="F38" s="40">
        <v>3.0</v>
      </c>
      <c r="G38" s="39">
        <f t="shared" si="4"/>
        <v>46134</v>
      </c>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row>
    <row r="39" ht="15.75" customHeight="1">
      <c r="A39" s="35" t="s">
        <v>50</v>
      </c>
      <c r="B39" s="36" t="s">
        <v>14</v>
      </c>
      <c r="C39" s="37">
        <v>0.0</v>
      </c>
      <c r="D39" s="38" t="str">
        <f>IFERROR(__xludf.DUMMYFUNCTION("IFERROR(SPARKLINE(C39,{""charttype"",""bar"";""color1"",""gray"";""max"",1}),""-"")"),"")</f>
        <v/>
      </c>
      <c r="E39" s="39">
        <f t="shared" si="5"/>
        <v>46135</v>
      </c>
      <c r="F39" s="40">
        <v>3.0</v>
      </c>
      <c r="G39" s="39">
        <f t="shared" si="4"/>
        <v>46137</v>
      </c>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6"/>
      <c r="BK39" s="36"/>
      <c r="BL39" s="36"/>
    </row>
    <row r="40" ht="15.75" customHeight="1">
      <c r="A40" s="35" t="s">
        <v>51</v>
      </c>
      <c r="B40" s="36" t="s">
        <v>22</v>
      </c>
      <c r="C40" s="37">
        <v>0.0</v>
      </c>
      <c r="D40" s="38" t="str">
        <f>IFERROR(__xludf.DUMMYFUNCTION("IFERROR(SPARKLINE(C40,{""charttype"",""bar"";""color1"",""gray"";""max"",1}),""-"")"),"")</f>
        <v/>
      </c>
      <c r="E40" s="39">
        <f t="shared" si="5"/>
        <v>46138</v>
      </c>
      <c r="F40" s="40">
        <v>5.0</v>
      </c>
      <c r="G40" s="39">
        <f t="shared" si="4"/>
        <v>46142</v>
      </c>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row>
    <row r="41" ht="15.75" customHeight="1">
      <c r="A41" s="35" t="s">
        <v>52</v>
      </c>
      <c r="B41" s="36" t="s">
        <v>44</v>
      </c>
      <c r="C41" s="37">
        <v>0.0</v>
      </c>
      <c r="D41" s="38" t="str">
        <f>IFERROR(__xludf.DUMMYFUNCTION("IFERROR(SPARKLINE(C41,{""charttype"",""bar"";""color1"",""gray"";""max"",1}),""-"")"),"")</f>
        <v/>
      </c>
      <c r="E41" s="39">
        <f t="shared" si="5"/>
        <v>46143</v>
      </c>
      <c r="F41" s="40">
        <v>4.0</v>
      </c>
      <c r="G41" s="39">
        <f t="shared" si="4"/>
        <v>46146</v>
      </c>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c r="AZ41" s="36"/>
      <c r="BA41" s="36"/>
      <c r="BB41" s="36"/>
      <c r="BC41" s="36"/>
      <c r="BD41" s="36"/>
      <c r="BE41" s="36"/>
      <c r="BF41" s="36"/>
      <c r="BG41" s="36"/>
      <c r="BH41" s="36"/>
      <c r="BI41" s="36"/>
      <c r="BJ41" s="36"/>
      <c r="BK41" s="36"/>
      <c r="BL41" s="36"/>
    </row>
    <row r="42" ht="15.75" customHeight="1">
      <c r="A42" s="35" t="s">
        <v>53</v>
      </c>
      <c r="B42" s="36" t="s">
        <v>14</v>
      </c>
      <c r="C42" s="37">
        <v>0.0</v>
      </c>
      <c r="D42" s="38" t="str">
        <f>IFERROR(__xludf.DUMMYFUNCTION("IFERROR(SPARKLINE(C42,{""charttype"",""bar"";""color1"",""gray"";""max"",1}),""-"")"),"")</f>
        <v/>
      </c>
      <c r="E42" s="39">
        <f t="shared" si="5"/>
        <v>46147</v>
      </c>
      <c r="F42" s="40">
        <v>4.0</v>
      </c>
      <c r="G42" s="39">
        <f t="shared" si="4"/>
        <v>46150</v>
      </c>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row>
    <row r="43" ht="15.75" customHeight="1">
      <c r="A43" s="35" t="s">
        <v>54</v>
      </c>
      <c r="B43" s="36" t="s">
        <v>22</v>
      </c>
      <c r="C43" s="37">
        <v>0.0</v>
      </c>
      <c r="D43" s="38" t="str">
        <f>IFERROR(__xludf.DUMMYFUNCTION("IFERROR(SPARKLINE(C43,{""charttype"",""bar"";""color1"",""gray"";""max"",1}),""-"")"),"")</f>
        <v/>
      </c>
      <c r="E43" s="39">
        <f t="shared" si="5"/>
        <v>46151</v>
      </c>
      <c r="F43" s="40">
        <v>4.0</v>
      </c>
      <c r="G43" s="39">
        <f t="shared" si="4"/>
        <v>46154</v>
      </c>
      <c r="H43" s="36"/>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6"/>
      <c r="BK43" s="36"/>
      <c r="BL43" s="36"/>
    </row>
    <row r="44" ht="15.75" customHeight="1">
      <c r="A44" s="35" t="s">
        <v>55</v>
      </c>
      <c r="B44" s="36" t="s">
        <v>44</v>
      </c>
      <c r="C44" s="37">
        <v>0.0</v>
      </c>
      <c r="D44" s="38" t="str">
        <f>IFERROR(__xludf.DUMMYFUNCTION("IFERROR(SPARKLINE(C44,{""charttype"",""bar"";""color1"",""gray"";""max"",1}),""-"")"),"")</f>
        <v/>
      </c>
      <c r="E44" s="39">
        <f t="shared" si="5"/>
        <v>46155</v>
      </c>
      <c r="F44" s="40">
        <v>5.0</v>
      </c>
      <c r="G44" s="39">
        <f t="shared" si="4"/>
        <v>46159</v>
      </c>
      <c r="H44" s="36"/>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row>
    <row r="45" ht="15.75" customHeight="1">
      <c r="A45" s="35" t="s">
        <v>56</v>
      </c>
      <c r="B45" s="36" t="s">
        <v>16</v>
      </c>
      <c r="C45" s="37">
        <v>0.0</v>
      </c>
      <c r="D45" s="38" t="str">
        <f>IFERROR(__xludf.DUMMYFUNCTION("IFERROR(SPARKLINE(C45,{""charttype"",""bar"";""color1"",""gray"";""max"",1}),""-"")"),"")</f>
        <v/>
      </c>
      <c r="E45" s="39">
        <f t="shared" si="5"/>
        <v>46160</v>
      </c>
      <c r="F45" s="40">
        <v>5.0</v>
      </c>
      <c r="G45" s="39">
        <f t="shared" si="4"/>
        <v>46164</v>
      </c>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c r="AW45" s="36"/>
      <c r="AX45" s="36"/>
      <c r="AY45" s="36"/>
      <c r="AZ45" s="36"/>
      <c r="BA45" s="36"/>
      <c r="BB45" s="36"/>
      <c r="BC45" s="36"/>
      <c r="BD45" s="36"/>
      <c r="BE45" s="36"/>
      <c r="BF45" s="36"/>
      <c r="BG45" s="36"/>
      <c r="BH45" s="36"/>
      <c r="BI45" s="36"/>
      <c r="BJ45" s="36"/>
      <c r="BK45" s="36"/>
      <c r="BL45" s="36"/>
    </row>
    <row r="46" ht="15.75" customHeight="1">
      <c r="A46" s="35" t="s">
        <v>57</v>
      </c>
      <c r="B46" s="36" t="s">
        <v>16</v>
      </c>
      <c r="C46" s="37">
        <v>0.0</v>
      </c>
      <c r="D46" s="38" t="str">
        <f>IFERROR(__xludf.DUMMYFUNCTION("IFERROR(SPARKLINE(C46,{""charttype"",""bar"";""color1"",""gray"";""max"",1}),""-"")"),"")</f>
        <v/>
      </c>
      <c r="E46" s="39">
        <f t="shared" si="5"/>
        <v>46165</v>
      </c>
      <c r="F46" s="40">
        <v>5.0</v>
      </c>
      <c r="G46" s="39">
        <f t="shared" si="4"/>
        <v>46169</v>
      </c>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row>
    <row r="47" ht="15.75" customHeight="1">
      <c r="A47" s="28" t="s">
        <v>58</v>
      </c>
      <c r="B47" s="29"/>
      <c r="C47" s="30">
        <v>0.0</v>
      </c>
      <c r="D47" s="41" t="str">
        <f>IFERROR(__xludf.DUMMYFUNCTION("IFERROR(SPARKLINE(C47,{""charttype"",""bar"";""color1"",""gray"";""max"",1}),""-"")"),"")</f>
        <v/>
      </c>
      <c r="E47" s="32"/>
      <c r="F47" s="33"/>
      <c r="G47" s="32"/>
      <c r="H47" s="32"/>
      <c r="I47" s="32"/>
      <c r="J47" s="32"/>
      <c r="K47" s="32"/>
      <c r="L47" s="32"/>
      <c r="M47" s="32"/>
      <c r="N47" s="32"/>
      <c r="O47" s="32"/>
      <c r="P47" s="32"/>
      <c r="Q47" s="32"/>
      <c r="R47" s="32"/>
      <c r="S47" s="32"/>
      <c r="T47" s="32"/>
      <c r="U47" s="32"/>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row>
    <row r="48" ht="15.75" customHeight="1">
      <c r="A48" s="35" t="s">
        <v>59</v>
      </c>
      <c r="B48" s="36" t="s">
        <v>16</v>
      </c>
      <c r="C48" s="37">
        <v>0.0</v>
      </c>
      <c r="D48" s="38" t="str">
        <f>IFERROR(__xludf.DUMMYFUNCTION("IFERROR(SPARKLINE(C48,{""charttype"",""bar"";""color1"",""gray"";""max"",1}),""-"")"),"")</f>
        <v/>
      </c>
      <c r="E48" s="39">
        <f>G46+1</f>
        <v>46170</v>
      </c>
      <c r="F48" s="40">
        <v>2.0</v>
      </c>
      <c r="G48" s="39">
        <f t="shared" ref="G48:G61" si="6">E48+F48-1</f>
        <v>46171</v>
      </c>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row>
    <row r="49" ht="15.75" customHeight="1">
      <c r="A49" s="35" t="s">
        <v>60</v>
      </c>
      <c r="B49" s="36" t="s">
        <v>16</v>
      </c>
      <c r="C49" s="37">
        <v>0.0</v>
      </c>
      <c r="D49" s="38" t="str">
        <f>IFERROR(__xludf.DUMMYFUNCTION("IFERROR(SPARKLINE(C49,{""charttype"",""bar"";""color1"",""gray"";""max"",1}),""-"")"),"")</f>
        <v/>
      </c>
      <c r="E49" s="39">
        <f t="shared" ref="E49:E61" si="7">G48+1</f>
        <v>46172</v>
      </c>
      <c r="F49" s="40">
        <v>2.0</v>
      </c>
      <c r="G49" s="39">
        <f t="shared" si="6"/>
        <v>46173</v>
      </c>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row>
    <row r="50" ht="15.75" customHeight="1">
      <c r="A50" s="35" t="s">
        <v>61</v>
      </c>
      <c r="B50" s="36" t="s">
        <v>14</v>
      </c>
      <c r="C50" s="37">
        <v>0.0</v>
      </c>
      <c r="D50" s="38" t="str">
        <f>IFERROR(__xludf.DUMMYFUNCTION("IFERROR(SPARKLINE(C50,{""charttype"",""bar"";""color1"",""gray"";""max"",1}),""-"")"),"")</f>
        <v/>
      </c>
      <c r="E50" s="39">
        <f t="shared" si="7"/>
        <v>46174</v>
      </c>
      <c r="F50" s="40">
        <v>2.0</v>
      </c>
      <c r="G50" s="39">
        <f t="shared" si="6"/>
        <v>46175</v>
      </c>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row>
    <row r="51" ht="15.75" customHeight="1">
      <c r="A51" s="35" t="s">
        <v>62</v>
      </c>
      <c r="B51" s="36" t="s">
        <v>14</v>
      </c>
      <c r="C51" s="37">
        <v>0.0</v>
      </c>
      <c r="D51" s="38" t="str">
        <f>IFERROR(__xludf.DUMMYFUNCTION("IFERROR(SPARKLINE(C51,{""charttype"",""bar"";""color1"",""gray"";""max"",1}),""-"")"),"")</f>
        <v/>
      </c>
      <c r="E51" s="39">
        <f t="shared" si="7"/>
        <v>46176</v>
      </c>
      <c r="F51" s="40">
        <v>2.0</v>
      </c>
      <c r="G51" s="39">
        <f t="shared" si="6"/>
        <v>46177</v>
      </c>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36"/>
      <c r="BK51" s="36"/>
      <c r="BL51" s="36"/>
    </row>
    <row r="52" ht="15.75" customHeight="1">
      <c r="A52" s="35" t="s">
        <v>63</v>
      </c>
      <c r="B52" s="36" t="s">
        <v>22</v>
      </c>
      <c r="C52" s="37">
        <v>0.0</v>
      </c>
      <c r="D52" s="38" t="str">
        <f>IFERROR(__xludf.DUMMYFUNCTION("IFERROR(SPARKLINE(C52,{""charttype"",""bar"";""color1"",""gray"";""max"",1}),""-"")"),"")</f>
        <v/>
      </c>
      <c r="E52" s="39">
        <f t="shared" si="7"/>
        <v>46178</v>
      </c>
      <c r="F52" s="40">
        <v>2.0</v>
      </c>
      <c r="G52" s="39">
        <f t="shared" si="6"/>
        <v>46179</v>
      </c>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6"/>
      <c r="AW52" s="36"/>
      <c r="AX52" s="36"/>
      <c r="AY52" s="36"/>
      <c r="AZ52" s="36"/>
      <c r="BA52" s="36"/>
      <c r="BB52" s="36"/>
      <c r="BC52" s="36"/>
      <c r="BD52" s="36"/>
      <c r="BE52" s="36"/>
      <c r="BF52" s="36"/>
      <c r="BG52" s="36"/>
      <c r="BH52" s="36"/>
      <c r="BI52" s="36"/>
      <c r="BJ52" s="36"/>
      <c r="BK52" s="36"/>
      <c r="BL52" s="36"/>
    </row>
    <row r="53" ht="15.75" customHeight="1">
      <c r="A53" s="35" t="s">
        <v>64</v>
      </c>
      <c r="B53" s="36" t="s">
        <v>44</v>
      </c>
      <c r="C53" s="37">
        <v>0.0</v>
      </c>
      <c r="D53" s="38" t="str">
        <f>IFERROR(__xludf.DUMMYFUNCTION("IFERROR(SPARKLINE(C53,{""charttype"",""bar"";""color1"",""gray"";""max"",1}),""-"")"),"")</f>
        <v/>
      </c>
      <c r="E53" s="39">
        <f t="shared" si="7"/>
        <v>46180</v>
      </c>
      <c r="F53" s="40">
        <v>2.0</v>
      </c>
      <c r="G53" s="39">
        <f t="shared" si="6"/>
        <v>46181</v>
      </c>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row>
    <row r="54" ht="15.75" customHeight="1">
      <c r="A54" s="35" t="s">
        <v>65</v>
      </c>
      <c r="B54" s="36" t="s">
        <v>22</v>
      </c>
      <c r="C54" s="37">
        <v>0.0</v>
      </c>
      <c r="D54" s="38" t="str">
        <f>IFERROR(__xludf.DUMMYFUNCTION("IFERROR(SPARKLINE(C54,{""charttype"",""bar"";""color1"",""gray"";""max"",1}),""-"")"),"")</f>
        <v/>
      </c>
      <c r="E54" s="39">
        <f t="shared" si="7"/>
        <v>46182</v>
      </c>
      <c r="F54" s="40">
        <v>2.0</v>
      </c>
      <c r="G54" s="39">
        <f t="shared" si="6"/>
        <v>46183</v>
      </c>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6"/>
      <c r="BK54" s="36"/>
      <c r="BL54" s="36"/>
    </row>
    <row r="55" ht="15.75" customHeight="1">
      <c r="A55" s="35" t="s">
        <v>66</v>
      </c>
      <c r="B55" s="36" t="s">
        <v>44</v>
      </c>
      <c r="C55" s="37">
        <v>0.0</v>
      </c>
      <c r="D55" s="38" t="str">
        <f>IFERROR(__xludf.DUMMYFUNCTION("IFERROR(SPARKLINE(C55,{""charttype"",""bar"";""color1"",""gray"";""max"",1}),""-"")"),"")</f>
        <v/>
      </c>
      <c r="E55" s="39">
        <f t="shared" si="7"/>
        <v>46184</v>
      </c>
      <c r="F55" s="40">
        <v>2.0</v>
      </c>
      <c r="G55" s="39">
        <f t="shared" si="6"/>
        <v>46185</v>
      </c>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6"/>
      <c r="BK55" s="36"/>
      <c r="BL55" s="36"/>
    </row>
    <row r="56" ht="15.75" customHeight="1">
      <c r="A56" s="35" t="s">
        <v>67</v>
      </c>
      <c r="B56" s="36" t="s">
        <v>14</v>
      </c>
      <c r="C56" s="37">
        <v>0.0</v>
      </c>
      <c r="D56" s="38" t="str">
        <f>IFERROR(__xludf.DUMMYFUNCTION("IFERROR(SPARKLINE(C56,{""charttype"",""bar"";""color1"",""gray"";""max"",1}),""-"")"),"")</f>
        <v/>
      </c>
      <c r="E56" s="39">
        <f t="shared" si="7"/>
        <v>46186</v>
      </c>
      <c r="F56" s="40">
        <v>2.0</v>
      </c>
      <c r="G56" s="39">
        <f t="shared" si="6"/>
        <v>46187</v>
      </c>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36"/>
      <c r="BE56" s="36"/>
      <c r="BF56" s="36"/>
      <c r="BG56" s="36"/>
      <c r="BH56" s="36"/>
      <c r="BI56" s="36"/>
      <c r="BJ56" s="36"/>
      <c r="BK56" s="36"/>
      <c r="BL56" s="36"/>
    </row>
    <row r="57" ht="15.75" customHeight="1">
      <c r="A57" s="35" t="s">
        <v>68</v>
      </c>
      <c r="B57" s="36" t="s">
        <v>16</v>
      </c>
      <c r="C57" s="37">
        <v>0.0</v>
      </c>
      <c r="D57" s="38" t="str">
        <f>IFERROR(__xludf.DUMMYFUNCTION("IFERROR(SPARKLINE(C57,{""charttype"",""bar"";""color1"",""gray"";""max"",1}),""-"")"),"")</f>
        <v/>
      </c>
      <c r="E57" s="39">
        <f t="shared" si="7"/>
        <v>46188</v>
      </c>
      <c r="F57" s="40">
        <v>2.0</v>
      </c>
      <c r="G57" s="39">
        <f t="shared" si="6"/>
        <v>46189</v>
      </c>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c r="BD57" s="36"/>
      <c r="BE57" s="36"/>
      <c r="BF57" s="36"/>
      <c r="BG57" s="36"/>
      <c r="BH57" s="36"/>
      <c r="BI57" s="36"/>
      <c r="BJ57" s="36"/>
      <c r="BK57" s="36"/>
      <c r="BL57" s="36"/>
    </row>
    <row r="58" ht="15.75" customHeight="1">
      <c r="A58" s="35" t="s">
        <v>69</v>
      </c>
      <c r="B58" s="36" t="s">
        <v>44</v>
      </c>
      <c r="C58" s="37">
        <v>0.0</v>
      </c>
      <c r="D58" s="38" t="str">
        <f>IFERROR(__xludf.DUMMYFUNCTION("IFERROR(SPARKLINE(C58,{""charttype"",""bar"";""color1"",""gray"";""max"",1}),""-"")"),"")</f>
        <v/>
      </c>
      <c r="E58" s="39">
        <f t="shared" si="7"/>
        <v>46190</v>
      </c>
      <c r="F58" s="40">
        <v>2.0</v>
      </c>
      <c r="G58" s="39">
        <f t="shared" si="6"/>
        <v>46191</v>
      </c>
      <c r="H58" s="36"/>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c r="AY58" s="36"/>
      <c r="AZ58" s="36"/>
      <c r="BA58" s="36"/>
      <c r="BB58" s="36"/>
      <c r="BC58" s="36"/>
      <c r="BD58" s="36"/>
      <c r="BE58" s="36"/>
      <c r="BF58" s="36"/>
      <c r="BG58" s="36"/>
      <c r="BH58" s="36"/>
      <c r="BI58" s="36"/>
      <c r="BJ58" s="36"/>
      <c r="BK58" s="36"/>
      <c r="BL58" s="36"/>
    </row>
    <row r="59" ht="15.75" customHeight="1">
      <c r="A59" s="35" t="s">
        <v>70</v>
      </c>
      <c r="B59" s="36" t="s">
        <v>22</v>
      </c>
      <c r="C59" s="37">
        <v>0.0</v>
      </c>
      <c r="D59" s="38" t="str">
        <f>IFERROR(__xludf.DUMMYFUNCTION("IFERROR(SPARKLINE(C59,{""charttype"",""bar"";""color1"",""gray"";""max"",1}),""-"")"),"")</f>
        <v/>
      </c>
      <c r="E59" s="39">
        <f t="shared" si="7"/>
        <v>46192</v>
      </c>
      <c r="F59" s="40">
        <v>2.0</v>
      </c>
      <c r="G59" s="39">
        <f t="shared" si="6"/>
        <v>46193</v>
      </c>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c r="AY59" s="36"/>
      <c r="AZ59" s="36"/>
      <c r="BA59" s="36"/>
      <c r="BB59" s="36"/>
      <c r="BC59" s="36"/>
      <c r="BD59" s="36"/>
      <c r="BE59" s="36"/>
      <c r="BF59" s="36"/>
      <c r="BG59" s="36"/>
      <c r="BH59" s="36"/>
      <c r="BI59" s="36"/>
      <c r="BJ59" s="36"/>
      <c r="BK59" s="36"/>
      <c r="BL59" s="36"/>
    </row>
    <row r="60" ht="15.75" customHeight="1">
      <c r="A60" s="35" t="s">
        <v>71</v>
      </c>
      <c r="B60" s="36" t="s">
        <v>16</v>
      </c>
      <c r="C60" s="37">
        <v>0.0</v>
      </c>
      <c r="D60" s="38" t="str">
        <f>IFERROR(__xludf.DUMMYFUNCTION("IFERROR(SPARKLINE(C60,{""charttype"",""bar"";""color1"",""gray"";""max"",1}),""-"")"),"")</f>
        <v/>
      </c>
      <c r="E60" s="39">
        <f t="shared" si="7"/>
        <v>46194</v>
      </c>
      <c r="F60" s="40">
        <v>2.0</v>
      </c>
      <c r="G60" s="39">
        <f t="shared" si="6"/>
        <v>46195</v>
      </c>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c r="AY60" s="36"/>
      <c r="AZ60" s="36"/>
      <c r="BA60" s="36"/>
      <c r="BB60" s="36"/>
      <c r="BC60" s="36"/>
      <c r="BD60" s="36"/>
      <c r="BE60" s="36"/>
      <c r="BF60" s="36"/>
      <c r="BG60" s="36"/>
      <c r="BH60" s="36"/>
      <c r="BI60" s="36"/>
      <c r="BJ60" s="36"/>
      <c r="BK60" s="36"/>
      <c r="BL60" s="36"/>
    </row>
    <row r="61" ht="15.75" customHeight="1">
      <c r="A61" s="35" t="s">
        <v>72</v>
      </c>
      <c r="B61" s="36" t="s">
        <v>16</v>
      </c>
      <c r="C61" s="37">
        <v>0.0</v>
      </c>
      <c r="D61" s="38" t="str">
        <f>IFERROR(__xludf.DUMMYFUNCTION("IFERROR(SPARKLINE(C61,{""charttype"",""bar"";""color1"",""gray"";""max"",1}),""-"")"),"")</f>
        <v/>
      </c>
      <c r="E61" s="39">
        <f t="shared" si="7"/>
        <v>46196</v>
      </c>
      <c r="F61" s="40">
        <v>2.0</v>
      </c>
      <c r="G61" s="39">
        <f t="shared" si="6"/>
        <v>46197</v>
      </c>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AX61" s="36"/>
      <c r="AY61" s="36"/>
      <c r="AZ61" s="36"/>
      <c r="BA61" s="36"/>
      <c r="BB61" s="36"/>
      <c r="BC61" s="36"/>
      <c r="BD61" s="36"/>
      <c r="BE61" s="36"/>
      <c r="BF61" s="36"/>
      <c r="BG61" s="36"/>
      <c r="BH61" s="36"/>
      <c r="BI61" s="36"/>
      <c r="BJ61" s="36"/>
      <c r="BK61" s="36"/>
      <c r="BL61" s="36"/>
    </row>
    <row r="62" ht="15.75" customHeight="1">
      <c r="A62" s="28" t="s">
        <v>73</v>
      </c>
      <c r="B62" s="29"/>
      <c r="C62" s="30">
        <v>0.0</v>
      </c>
      <c r="D62" s="41" t="str">
        <f>IFERROR(__xludf.DUMMYFUNCTION("IFERROR(SPARKLINE(C62,{""charttype"",""bar"";""color1"",""gray"";""max"",1}),""-"")"),"")</f>
        <v/>
      </c>
      <c r="E62" s="32"/>
      <c r="F62" s="33"/>
      <c r="G62" s="32"/>
      <c r="H62" s="32"/>
      <c r="I62" s="32"/>
      <c r="J62" s="32"/>
      <c r="K62" s="32"/>
      <c r="L62" s="32"/>
      <c r="M62" s="32"/>
      <c r="N62" s="32"/>
      <c r="O62" s="32"/>
      <c r="P62" s="32"/>
      <c r="Q62" s="32"/>
      <c r="R62" s="32"/>
      <c r="S62" s="32"/>
      <c r="T62" s="32"/>
      <c r="U62" s="32"/>
      <c r="V62" s="32"/>
      <c r="W62" s="32"/>
      <c r="X62" s="32"/>
      <c r="Y62" s="32"/>
      <c r="Z62" s="32"/>
      <c r="AA62" s="32"/>
      <c r="AB62" s="32"/>
      <c r="AC62" s="32"/>
      <c r="AD62" s="32"/>
      <c r="AE62" s="32"/>
      <c r="AF62" s="32"/>
      <c r="AG62" s="32"/>
      <c r="AH62" s="32"/>
      <c r="AI62" s="32"/>
      <c r="AJ62" s="32"/>
      <c r="AK62" s="32"/>
      <c r="AL62" s="32"/>
      <c r="AM62" s="32"/>
      <c r="AN62" s="32"/>
      <c r="AO62" s="32"/>
      <c r="AP62" s="32"/>
      <c r="AQ62" s="32"/>
      <c r="AR62" s="32"/>
      <c r="AS62" s="32"/>
      <c r="AT62" s="32"/>
      <c r="AU62" s="32"/>
      <c r="AV62" s="32"/>
      <c r="AW62" s="32"/>
      <c r="AX62" s="32"/>
      <c r="AY62" s="32"/>
      <c r="AZ62" s="32"/>
      <c r="BA62" s="32"/>
      <c r="BB62" s="32"/>
      <c r="BC62" s="32"/>
      <c r="BD62" s="32"/>
      <c r="BE62" s="32"/>
      <c r="BF62" s="32"/>
      <c r="BG62" s="32"/>
      <c r="BH62" s="32"/>
      <c r="BI62" s="32"/>
      <c r="BJ62" s="32"/>
      <c r="BK62" s="32"/>
      <c r="BL62" s="32"/>
    </row>
    <row r="63" ht="15.75" customHeight="1">
      <c r="A63" s="35" t="s">
        <v>74</v>
      </c>
      <c r="B63" s="36" t="s">
        <v>14</v>
      </c>
      <c r="C63" s="37">
        <v>0.0</v>
      </c>
      <c r="D63" s="38" t="str">
        <f>IFERROR(__xludf.DUMMYFUNCTION("IFERROR(SPARKLINE(C63,{""charttype"",""bar"";""color1"",""gray"";""max"",1}),""-"")"),"")</f>
        <v/>
      </c>
      <c r="E63" s="39">
        <f>G61+1</f>
        <v>46198</v>
      </c>
      <c r="F63" s="40">
        <v>6.0</v>
      </c>
      <c r="G63" s="39">
        <f t="shared" ref="G63:G67" si="8">E63+F63-1</f>
        <v>46203</v>
      </c>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6"/>
      <c r="AW63" s="36"/>
      <c r="AX63" s="36"/>
      <c r="AY63" s="36"/>
      <c r="AZ63" s="36"/>
      <c r="BA63" s="36"/>
      <c r="BB63" s="36"/>
      <c r="BC63" s="36"/>
      <c r="BD63" s="36"/>
      <c r="BE63" s="36"/>
      <c r="BF63" s="36"/>
      <c r="BG63" s="36"/>
      <c r="BH63" s="36"/>
      <c r="BI63" s="36"/>
      <c r="BJ63" s="36"/>
      <c r="BK63" s="36"/>
      <c r="BL63" s="36"/>
    </row>
    <row r="64" ht="15.75" customHeight="1">
      <c r="A64" s="35" t="s">
        <v>75</v>
      </c>
      <c r="B64" s="36" t="s">
        <v>22</v>
      </c>
      <c r="C64" s="37">
        <v>0.0</v>
      </c>
      <c r="D64" s="38" t="str">
        <f>IFERROR(__xludf.DUMMYFUNCTION("IFERROR(SPARKLINE(C64,{""charttype"",""bar"";""color1"",""gray"";""max"",1}),""-"")"),"")</f>
        <v/>
      </c>
      <c r="E64" s="39">
        <f t="shared" ref="E64:E67" si="9">G63+1</f>
        <v>46204</v>
      </c>
      <c r="F64" s="40">
        <v>5.0</v>
      </c>
      <c r="G64" s="39">
        <f t="shared" si="8"/>
        <v>46208</v>
      </c>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c r="AW64" s="36"/>
      <c r="AX64" s="36"/>
      <c r="AY64" s="36"/>
      <c r="AZ64" s="36"/>
      <c r="BA64" s="36"/>
      <c r="BB64" s="36"/>
      <c r="BC64" s="36"/>
      <c r="BD64" s="36"/>
      <c r="BE64" s="36"/>
      <c r="BF64" s="36"/>
      <c r="BG64" s="36"/>
      <c r="BH64" s="36"/>
      <c r="BI64" s="36"/>
      <c r="BJ64" s="36"/>
      <c r="BK64" s="36"/>
      <c r="BL64" s="36"/>
    </row>
    <row r="65" ht="15.75" customHeight="1">
      <c r="A65" s="35" t="s">
        <v>76</v>
      </c>
      <c r="B65" s="36" t="s">
        <v>44</v>
      </c>
      <c r="C65" s="37">
        <v>0.0</v>
      </c>
      <c r="D65" s="38" t="str">
        <f>IFERROR(__xludf.DUMMYFUNCTION("IFERROR(SPARKLINE(C65,{""charttype"",""bar"";""color1"",""gray"";""max"",1}),""-"")"),"")</f>
        <v/>
      </c>
      <c r="E65" s="39">
        <f t="shared" si="9"/>
        <v>46209</v>
      </c>
      <c r="F65" s="40">
        <v>5.0</v>
      </c>
      <c r="G65" s="39">
        <f t="shared" si="8"/>
        <v>46213</v>
      </c>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row>
    <row r="66" ht="15.75" customHeight="1">
      <c r="A66" s="35" t="s">
        <v>77</v>
      </c>
      <c r="B66" s="36" t="s">
        <v>16</v>
      </c>
      <c r="C66" s="37">
        <v>0.0</v>
      </c>
      <c r="D66" s="38" t="str">
        <f>IFERROR(__xludf.DUMMYFUNCTION("IFERROR(SPARKLINE(C66,{""charttype"",""bar"";""color1"",""gray"";""max"",1}),""-"")"),"")</f>
        <v/>
      </c>
      <c r="E66" s="39">
        <f t="shared" si="9"/>
        <v>46214</v>
      </c>
      <c r="F66" s="40">
        <v>3.0</v>
      </c>
      <c r="G66" s="39">
        <f t="shared" si="8"/>
        <v>46216</v>
      </c>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c r="AY66" s="36"/>
      <c r="AZ66" s="36"/>
      <c r="BA66" s="36"/>
      <c r="BB66" s="36"/>
      <c r="BC66" s="36"/>
      <c r="BD66" s="36"/>
      <c r="BE66" s="36"/>
      <c r="BF66" s="36"/>
      <c r="BG66" s="36"/>
      <c r="BH66" s="36"/>
      <c r="BI66" s="36"/>
      <c r="BJ66" s="36"/>
      <c r="BK66" s="36"/>
      <c r="BL66" s="36"/>
    </row>
    <row r="67" ht="15.75" customHeight="1">
      <c r="A67" s="35" t="s">
        <v>78</v>
      </c>
      <c r="B67" s="36" t="s">
        <v>16</v>
      </c>
      <c r="C67" s="37">
        <v>0.0</v>
      </c>
      <c r="D67" s="38" t="str">
        <f>IFERROR(__xludf.DUMMYFUNCTION("IFERROR(SPARKLINE(C67,{""charttype"",""bar"";""color1"",""gray"";""max"",1}),""-"")"),"")</f>
        <v/>
      </c>
      <c r="E67" s="39">
        <f t="shared" si="9"/>
        <v>46217</v>
      </c>
      <c r="F67" s="40">
        <v>1.0</v>
      </c>
      <c r="G67" s="39">
        <f t="shared" si="8"/>
        <v>46217</v>
      </c>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I3:O3"/>
    <mergeCell ref="C5:D5"/>
    <mergeCell ref="P3:V3"/>
    <mergeCell ref="W3:AC3"/>
    <mergeCell ref="AD3:AJ3"/>
    <mergeCell ref="AK3:AQ3"/>
    <mergeCell ref="AR3:AX3"/>
    <mergeCell ref="AY3:BE3"/>
    <mergeCell ref="BF3:BL3"/>
  </mergeCells>
  <conditionalFormatting sqref="I6:BL46 I48:BL61 I63:BL67">
    <cfRule type="expression" dxfId="0" priority="1">
      <formula>AND(1=0,I$4&gt;=$E6,I$4&lt;$E6+ROUNDDOWN($C6*($G6-$E6+1),0))</formula>
    </cfRule>
  </conditionalFormatting>
  <conditionalFormatting sqref="I6:BL46 I48:BL61 I63:BL67">
    <cfRule type="expression" dxfId="1" priority="2">
      <formula>AND(I$4&gt;=$E6,I$4&lt;=$G6)</formula>
    </cfRule>
  </conditionalFormatting>
  <conditionalFormatting sqref="I4:BL5">
    <cfRule type="expression" dxfId="2" priority="3">
      <formula>I$4=TODAY()</formula>
    </cfRule>
  </conditionalFormatting>
  <hyperlinks>
    <hyperlink r:id="rId1" ref="I1"/>
  </hyperlinks>
  <printOptions gridLines="1" horizontalCentered="1"/>
  <pageMargins bottom="0.75" footer="0.0" header="0.0" left="0.25" right="0.25" top="0.75"/>
  <pageSetup fitToHeight="0" cellComments="atEnd" orientation="landscape" pageOrder="overThenDown"/>
  <headerFooter>
    <oddFooter>&amp;LGantt Chart Template © 2020 by Vertex42.com</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5.88"/>
    <col customWidth="1" min="2" max="2" width="71.5"/>
    <col customWidth="1" min="3" max="3" width="15.88"/>
    <col customWidth="1" min="4" max="6" width="12.63"/>
  </cols>
  <sheetData>
    <row r="1" ht="30.75" customHeight="1">
      <c r="A1" s="42"/>
      <c r="B1" s="42" t="s">
        <v>79</v>
      </c>
      <c r="C1" s="42"/>
    </row>
    <row r="2" ht="15.75" customHeight="1">
      <c r="B2" s="43"/>
    </row>
    <row r="3" ht="15.75" customHeight="1">
      <c r="B3" s="43" t="s">
        <v>80</v>
      </c>
    </row>
    <row r="4" ht="15.75" customHeight="1">
      <c r="B4" s="44"/>
    </row>
    <row r="5" ht="15.75" customHeight="1">
      <c r="B5" s="43" t="s">
        <v>81</v>
      </c>
    </row>
    <row r="6" ht="15.75" customHeight="1">
      <c r="B6" s="45" t="s">
        <v>82</v>
      </c>
    </row>
    <row r="7" ht="15.75" customHeight="1">
      <c r="B7" s="43"/>
    </row>
    <row r="8" ht="15.75" customHeight="1">
      <c r="B8" s="43" t="s">
        <v>83</v>
      </c>
    </row>
    <row r="9" ht="15.75" customHeight="1">
      <c r="B9" s="45" t="s">
        <v>84</v>
      </c>
    </row>
    <row r="10" ht="15.75" customHeight="1">
      <c r="B10" s="43"/>
    </row>
    <row r="11" ht="15.75" customHeight="1">
      <c r="B11" s="43" t="s">
        <v>85</v>
      </c>
    </row>
    <row r="12" ht="15.75" customHeight="1">
      <c r="B12" s="43"/>
    </row>
    <row r="13" ht="15.75" customHeight="1">
      <c r="B13" s="43" t="s">
        <v>86</v>
      </c>
    </row>
    <row r="14" ht="15.75" customHeight="1">
      <c r="B14" s="46" t="s">
        <v>87</v>
      </c>
    </row>
    <row r="15" ht="15.75" customHeight="1">
      <c r="B15" s="43"/>
    </row>
    <row r="16" ht="15.75" customHeight="1">
      <c r="B16" s="43" t="s">
        <v>88</v>
      </c>
    </row>
    <row r="17" ht="15.75" customHeight="1">
      <c r="B17" s="46" t="s">
        <v>89</v>
      </c>
    </row>
    <row r="18" ht="15.75" customHeight="1">
      <c r="B18" s="47"/>
    </row>
    <row r="19" ht="15.75" customHeight="1">
      <c r="B19" s="47"/>
    </row>
    <row r="20" ht="15.75" customHeight="1">
      <c r="B20" s="47"/>
    </row>
    <row r="21" ht="15.75" customHeight="1">
      <c r="B21" s="47"/>
    </row>
    <row r="22" ht="15.75" customHeight="1">
      <c r="B22" s="47"/>
    </row>
    <row r="23" ht="15.75" customHeight="1">
      <c r="B23" s="47"/>
    </row>
    <row r="24" ht="15.75" customHeight="1">
      <c r="B24" s="47"/>
    </row>
    <row r="25" ht="15.75" customHeight="1">
      <c r="B25" s="47"/>
    </row>
    <row r="26" ht="15.75" customHeight="1">
      <c r="B26" s="47"/>
    </row>
    <row r="27" ht="15.75" customHeight="1">
      <c r="B27" s="47"/>
    </row>
    <row r="28" ht="15.75" customHeight="1">
      <c r="B28" s="47"/>
    </row>
    <row r="29" ht="15.75" customHeight="1">
      <c r="B29" s="47"/>
    </row>
    <row r="30" ht="15.75" customHeight="1">
      <c r="B30" s="47"/>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6"/>
    <hyperlink r:id="rId2" ref="B9"/>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5.88"/>
    <col customWidth="1" min="2" max="2" width="71.5"/>
    <col customWidth="1" min="3" max="3" width="18.88"/>
    <col customWidth="1" min="4" max="6" width="12.63"/>
  </cols>
  <sheetData>
    <row r="1" ht="30.0" customHeight="1">
      <c r="A1" s="42"/>
      <c r="B1" s="42" t="s">
        <v>90</v>
      </c>
      <c r="C1" s="42"/>
    </row>
    <row r="2" ht="15.75" customHeight="1">
      <c r="B2" s="48"/>
    </row>
    <row r="3" ht="15.75" customHeight="1">
      <c r="B3" s="49" t="str">
        <f>HYPERLINK("https://www.vertex42.com/ExcelTemplates/simple-gantt-chart.html","https://www.vertex42.com/ExcelTemplates/simple-gantt-chart.html")</f>
        <v>https://www.vertex42.com/ExcelTemplates/simple-gantt-chart.html</v>
      </c>
    </row>
    <row r="4" ht="15.75" customHeight="1">
      <c r="B4" s="44" t="s">
        <v>91</v>
      </c>
    </row>
    <row r="5" ht="15.75" customHeight="1">
      <c r="B5" s="48"/>
    </row>
    <row r="6" ht="15.75" customHeight="1">
      <c r="B6" s="50" t="s">
        <v>92</v>
      </c>
    </row>
    <row r="7" ht="15.75" customHeight="1">
      <c r="B7" s="51"/>
    </row>
    <row r="8" ht="15.75" customHeight="1">
      <c r="B8" s="50" t="s">
        <v>93</v>
      </c>
    </row>
    <row r="9" ht="15.75" customHeight="1">
      <c r="B9" s="51"/>
    </row>
    <row r="10" ht="15.75" customHeight="1">
      <c r="B10" s="52" t="s">
        <v>94</v>
      </c>
    </row>
    <row r="11" ht="15.75" customHeight="1">
      <c r="B11" s="51"/>
    </row>
    <row r="12" ht="15.75" customHeight="1">
      <c r="B12" s="50" t="s">
        <v>95</v>
      </c>
    </row>
    <row r="13" ht="15.75" customHeight="1">
      <c r="B13" s="50"/>
    </row>
    <row r="14" ht="15.75" customHeight="1">
      <c r="A14" s="53"/>
      <c r="B14" s="54" t="s">
        <v>96</v>
      </c>
      <c r="C14" s="53"/>
    </row>
    <row r="15" ht="15.75" customHeight="1">
      <c r="B15" s="51"/>
    </row>
    <row r="16" ht="15.75" customHeight="1">
      <c r="B16" s="52" t="s">
        <v>97</v>
      </c>
    </row>
    <row r="17" ht="15.75" customHeight="1">
      <c r="B17" s="50" t="s">
        <v>98</v>
      </c>
    </row>
    <row r="18" ht="15.75" customHeight="1">
      <c r="B18" s="51"/>
    </row>
    <row r="19" ht="15.75" customHeight="1">
      <c r="B19" s="52" t="s">
        <v>99</v>
      </c>
    </row>
    <row r="20" ht="15.75" customHeight="1">
      <c r="B20" s="55" t="str">
        <f>HYPERLINK("https://www.vertex42.com/licensing/EULA_privateuse.html","https://www.vertex42.com/licensing/EULA_privateuse.html")</f>
        <v>https://www.vertex42.com/licensing/EULA_privateuse.html</v>
      </c>
    </row>
    <row r="21" ht="15.75" customHeight="1">
      <c r="B21" s="51"/>
    </row>
    <row r="22" ht="15.75" customHeight="1">
      <c r="B22" s="51"/>
    </row>
    <row r="23" ht="15.75" customHeight="1">
      <c r="B23" s="48"/>
    </row>
    <row r="24" ht="15.75" customHeight="1">
      <c r="B24" s="48"/>
    </row>
    <row r="25" ht="15.75" customHeight="1">
      <c r="B25" s="48"/>
    </row>
    <row r="26" ht="15.75" customHeight="1">
      <c r="B26" s="48"/>
    </row>
    <row r="27" ht="15.0" customHeight="1">
      <c r="B27" s="48"/>
    </row>
    <row r="28" ht="15.0" customHeight="1">
      <c r="B28" s="48"/>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3.88"/>
    <col customWidth="1" min="2" max="2" width="74.25"/>
    <col customWidth="1" min="3" max="3" width="15.75"/>
    <col customWidth="1" min="4" max="6" width="12.63"/>
  </cols>
  <sheetData>
    <row r="1" ht="30.0" customHeight="1">
      <c r="A1" s="42" t="s">
        <v>100</v>
      </c>
      <c r="B1" s="42"/>
      <c r="C1" s="42"/>
    </row>
    <row r="2" ht="15.75" customHeight="1"/>
    <row r="3" ht="15.75" customHeight="1">
      <c r="B3" s="48" t="s">
        <v>101</v>
      </c>
    </row>
    <row r="4" ht="15.75" customHeight="1"/>
    <row r="5" ht="15.75" customHeight="1">
      <c r="B5" s="56" t="str">
        <f>HYPERLINK("https://www.vertex42.com/ExcelTemplates/gantt-chart-template-pro.html","Learn More About Gantt Chart Template Pro")</f>
        <v>Learn More About Gantt Chart Template Pro</v>
      </c>
    </row>
    <row r="6" ht="15.75" customHeight="1"/>
    <row r="7" ht="15.75" customHeight="1">
      <c r="B7" s="57" t="s">
        <v>102</v>
      </c>
    </row>
    <row r="8" ht="15.75" customHeight="1"/>
    <row r="9" ht="22.5" customHeight="1">
      <c r="A9" s="58" t="s">
        <v>103</v>
      </c>
      <c r="B9" s="59"/>
      <c r="C9" s="59"/>
    </row>
    <row r="10" ht="15.75" customHeight="1">
      <c r="B10" s="57"/>
    </row>
    <row r="11" ht="15.75" customHeight="1">
      <c r="B11" s="57" t="s">
        <v>104</v>
      </c>
    </row>
    <row r="12" ht="15.75" customHeight="1">
      <c r="B12" s="48" t="s">
        <v>105</v>
      </c>
    </row>
    <row r="13" ht="15.75" customHeight="1"/>
    <row r="14" ht="15.75" customHeight="1">
      <c r="B14" s="57" t="s">
        <v>106</v>
      </c>
    </row>
    <row r="15" ht="15.75" customHeight="1">
      <c r="B15" s="48" t="s">
        <v>107</v>
      </c>
    </row>
    <row r="16" ht="15.75" customHeight="1"/>
    <row r="17" ht="15.75" customHeight="1">
      <c r="B17" s="57" t="s">
        <v>108</v>
      </c>
    </row>
    <row r="18" ht="15.75" customHeight="1">
      <c r="B18" s="48" t="s">
        <v>109</v>
      </c>
    </row>
    <row r="19" ht="15.75" customHeight="1"/>
    <row r="20" ht="15.75" customHeight="1">
      <c r="B20" s="57" t="s">
        <v>110</v>
      </c>
    </row>
    <row r="21" ht="15.75" customHeight="1">
      <c r="B21" s="48" t="s">
        <v>111</v>
      </c>
    </row>
    <row r="22" ht="15.75" customHeight="1"/>
    <row r="23" ht="15.75" customHeight="1">
      <c r="B23" s="57" t="s">
        <v>112</v>
      </c>
    </row>
    <row r="24" ht="15.75" customHeight="1">
      <c r="B24" s="48" t="s">
        <v>113</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c r="B38" s="57" t="s">
        <v>114</v>
      </c>
    </row>
    <row r="39" ht="15.75" customHeight="1">
      <c r="B39" s="48" t="s">
        <v>115</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