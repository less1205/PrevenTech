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ira\Downloads\"/>
    </mc:Choice>
  </mc:AlternateContent>
  <xr:revisionPtr revIDLastSave="0" documentId="13_ncr:1_{B1A6C1C4-9F18-4ACA-B973-FFEFCF293460}" xr6:coauthVersionLast="47" xr6:coauthVersionMax="47" xr10:uidLastSave="{00000000-0000-0000-0000-000000000000}"/>
  <bookViews>
    <workbookView xWindow="-108" yWindow="-108" windowWidth="23256" windowHeight="12456" xr2:uid="{00000000-000D-0000-FFFF-FFFF00000000}"/>
  </bookViews>
  <sheets>
    <sheet name="Gantt Chart" sheetId="1" r:id="rId1"/>
    <sheet name="Help" sheetId="2" state="hidden" r:id="rId2"/>
    <sheet name="TermsOfUse" sheetId="3" state="hidden" r:id="rId3"/>
    <sheet name="GanttChartPro" sheetId="4" state="hidden" r:id="rId4"/>
  </sheets>
  <definedNames>
    <definedName name="VALUEVX">_xludf.LAMBDA(42.314159)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 l="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34" i="1"/>
  <c r="D33" i="1"/>
  <c r="D30" i="1"/>
  <c r="D31" i="1"/>
  <c r="D32" i="1"/>
  <c r="D7" i="1"/>
  <c r="D8" i="1"/>
  <c r="D9" i="1"/>
  <c r="D10" i="1"/>
  <c r="D11" i="1"/>
  <c r="D12" i="1"/>
  <c r="D13" i="1"/>
  <c r="D14" i="1"/>
  <c r="D15" i="1"/>
  <c r="D16" i="1"/>
  <c r="D17" i="1"/>
  <c r="D18" i="1"/>
  <c r="D19" i="1"/>
  <c r="D20" i="1"/>
  <c r="D21" i="1"/>
  <c r="D22" i="1"/>
  <c r="D23" i="1"/>
  <c r="D24" i="1"/>
  <c r="D25" i="1"/>
  <c r="D26" i="1"/>
  <c r="D27" i="1"/>
  <c r="D28" i="1"/>
  <c r="D29" i="1"/>
  <c r="D6" i="1"/>
  <c r="B5" i="4"/>
  <c r="B20" i="3"/>
  <c r="B3" i="3"/>
  <c r="G29" i="1"/>
  <c r="E31" i="1" s="1"/>
  <c r="G31" i="1" s="1"/>
  <c r="E32" i="1" s="1"/>
  <c r="G32" i="1" s="1"/>
  <c r="E33" i="1" s="1"/>
  <c r="G33" i="1" s="1"/>
  <c r="E34" i="1" s="1"/>
  <c r="G34" i="1" s="1"/>
  <c r="E35" i="1" s="1"/>
  <c r="G35" i="1" s="1"/>
  <c r="E36" i="1" s="1"/>
  <c r="G36" i="1" s="1"/>
  <c r="E37" i="1" s="1"/>
  <c r="G37" i="1" s="1"/>
  <c r="E38" i="1" s="1"/>
  <c r="G38" i="1" s="1"/>
  <c r="E39" i="1" s="1"/>
  <c r="G39" i="1" s="1"/>
  <c r="E40" i="1" s="1"/>
  <c r="G40" i="1" s="1"/>
  <c r="E41" i="1" s="1"/>
  <c r="G41" i="1" s="1"/>
  <c r="E42" i="1" s="1"/>
  <c r="G42" i="1" s="1"/>
  <c r="E43" i="1" s="1"/>
  <c r="G43" i="1" s="1"/>
  <c r="E44" i="1" s="1"/>
  <c r="G44" i="1" s="1"/>
  <c r="E45" i="1" s="1"/>
  <c r="G45" i="1" s="1"/>
  <c r="E46" i="1" s="1"/>
  <c r="G46" i="1" s="1"/>
  <c r="E48" i="1" s="1"/>
  <c r="G48" i="1" s="1"/>
  <c r="E49" i="1" s="1"/>
  <c r="G49" i="1" s="1"/>
  <c r="E50" i="1" s="1"/>
  <c r="G50" i="1" s="1"/>
  <c r="E51" i="1" s="1"/>
  <c r="G51" i="1" s="1"/>
  <c r="E52" i="1" s="1"/>
  <c r="G52" i="1" s="1"/>
  <c r="E53" i="1" s="1"/>
  <c r="G53" i="1" s="1"/>
  <c r="E54" i="1" s="1"/>
  <c r="G54" i="1" s="1"/>
  <c r="E55" i="1" s="1"/>
  <c r="G55" i="1" s="1"/>
  <c r="E56" i="1" s="1"/>
  <c r="G56" i="1" s="1"/>
  <c r="E57" i="1" s="1"/>
  <c r="G57" i="1" s="1"/>
  <c r="E58" i="1" s="1"/>
  <c r="G58" i="1" s="1"/>
  <c r="E59" i="1" s="1"/>
  <c r="G59" i="1" s="1"/>
  <c r="E60" i="1" s="1"/>
  <c r="G60" i="1" s="1"/>
  <c r="E61" i="1" s="1"/>
  <c r="G61" i="1" s="1"/>
  <c r="E63" i="1" s="1"/>
  <c r="G63" i="1" s="1"/>
  <c r="E64" i="1" s="1"/>
  <c r="G64" i="1" s="1"/>
  <c r="E65" i="1" s="1"/>
  <c r="G65" i="1" s="1"/>
  <c r="E66" i="1" s="1"/>
  <c r="G66" i="1" s="1"/>
  <c r="E67" i="1" s="1"/>
  <c r="G67" i="1" s="1"/>
  <c r="G28" i="1"/>
  <c r="G27" i="1"/>
  <c r="G26" i="1"/>
  <c r="G25" i="1"/>
  <c r="G24" i="1"/>
  <c r="G23" i="1"/>
  <c r="G22" i="1"/>
  <c r="G21" i="1"/>
  <c r="G20" i="1"/>
  <c r="G19" i="1"/>
  <c r="G18" i="1"/>
  <c r="G17" i="1"/>
  <c r="G16" i="1"/>
  <c r="G15" i="1"/>
  <c r="G14" i="1"/>
  <c r="G13" i="1"/>
  <c r="G12" i="1"/>
  <c r="G11" i="1"/>
  <c r="G10" i="1"/>
  <c r="G9" i="1"/>
  <c r="G8" i="1"/>
  <c r="G7" i="1"/>
  <c r="I5" i="1"/>
  <c r="I4" i="1"/>
  <c r="I3" i="1" s="1"/>
  <c r="J4" i="1" l="1"/>
  <c r="K4" i="1" l="1"/>
  <c r="J5" i="1"/>
  <c r="L4" i="1" l="1"/>
  <c r="K5" i="1"/>
  <c r="L5" i="1" l="1"/>
  <c r="M4" i="1"/>
  <c r="N4" i="1" l="1"/>
  <c r="M5" i="1"/>
  <c r="N5" i="1" l="1"/>
  <c r="O4" i="1"/>
  <c r="O5" i="1" l="1"/>
  <c r="P4" i="1"/>
  <c r="P3" i="1" l="1"/>
  <c r="P5" i="1"/>
  <c r="Q4" i="1"/>
  <c r="Q5" i="1" l="1"/>
  <c r="R4" i="1"/>
  <c r="R5" i="1" l="1"/>
  <c r="S4" i="1"/>
  <c r="T4" i="1" l="1"/>
  <c r="S5" i="1"/>
  <c r="U4" i="1" l="1"/>
  <c r="T5" i="1"/>
  <c r="U5" i="1" l="1"/>
  <c r="V4" i="1"/>
  <c r="W4" i="1" l="1"/>
  <c r="V5" i="1"/>
  <c r="X4" i="1" l="1"/>
  <c r="W5" i="1"/>
  <c r="W3" i="1"/>
  <c r="Y4" i="1" l="1"/>
  <c r="X5" i="1"/>
  <c r="Z4" i="1" l="1"/>
  <c r="Y5" i="1"/>
  <c r="Z5" i="1" l="1"/>
  <c r="AA4" i="1"/>
  <c r="AA5" i="1" l="1"/>
  <c r="AB4" i="1"/>
  <c r="AB5" i="1" l="1"/>
  <c r="AC4" i="1"/>
  <c r="AD4" i="1" l="1"/>
  <c r="AC5" i="1"/>
  <c r="AD5" i="1" l="1"/>
  <c r="AE4" i="1"/>
  <c r="AD3" i="1"/>
  <c r="AE5" i="1" l="1"/>
  <c r="AF4" i="1"/>
  <c r="AG4" i="1" l="1"/>
  <c r="AF5" i="1"/>
  <c r="AH4" i="1" l="1"/>
  <c r="AG5" i="1"/>
  <c r="AI4" i="1" l="1"/>
  <c r="AH5" i="1"/>
  <c r="AJ4" i="1" l="1"/>
  <c r="AI5" i="1"/>
  <c r="AK4" i="1" l="1"/>
  <c r="AJ5" i="1"/>
  <c r="AL4" i="1" l="1"/>
  <c r="AK5" i="1"/>
  <c r="AK3" i="1"/>
  <c r="AL5" i="1" l="1"/>
  <c r="AM4" i="1"/>
  <c r="AM5" i="1" l="1"/>
  <c r="AN4" i="1"/>
  <c r="AN5" i="1" l="1"/>
  <c r="AO4" i="1"/>
  <c r="AO5" i="1" l="1"/>
  <c r="AP4" i="1"/>
  <c r="AP5" i="1" l="1"/>
  <c r="AQ4" i="1"/>
  <c r="AR4" i="1" l="1"/>
  <c r="AQ5" i="1"/>
  <c r="AS4" i="1" l="1"/>
  <c r="AR5" i="1"/>
  <c r="AR3" i="1"/>
  <c r="AT4" i="1" l="1"/>
  <c r="AS5" i="1"/>
  <c r="AU4" i="1" l="1"/>
  <c r="AT5" i="1"/>
  <c r="AU5" i="1" l="1"/>
  <c r="AV4" i="1"/>
  <c r="AV5" i="1" l="1"/>
  <c r="AW4" i="1"/>
  <c r="AX4" i="1" l="1"/>
  <c r="AW5" i="1"/>
  <c r="AX5" i="1" l="1"/>
  <c r="AY4" i="1"/>
  <c r="AY5" i="1" l="1"/>
  <c r="AY3" i="1"/>
  <c r="AZ4" i="1"/>
  <c r="AZ5" i="1" l="1"/>
  <c r="BA4" i="1"/>
  <c r="BA5" i="1" l="1"/>
  <c r="BB4" i="1"/>
  <c r="BB5" i="1" l="1"/>
  <c r="BC4" i="1"/>
  <c r="BD4" i="1" l="1"/>
  <c r="BC5" i="1"/>
  <c r="BE4" i="1" l="1"/>
  <c r="BD5" i="1"/>
  <c r="BE5" i="1" l="1"/>
  <c r="BF4" i="1"/>
  <c r="BF3" i="1" l="1"/>
  <c r="BG4" i="1"/>
  <c r="BF5" i="1"/>
  <c r="BH4" i="1" l="1"/>
  <c r="BG5" i="1"/>
  <c r="BI4" i="1" l="1"/>
  <c r="BH5" i="1"/>
  <c r="BJ4" i="1" l="1"/>
  <c r="BI5" i="1"/>
  <c r="BJ5" i="1" l="1"/>
  <c r="BK4" i="1"/>
  <c r="BK5" i="1" l="1"/>
  <c r="BL4" i="1"/>
  <c r="BL5" i="1" s="1"/>
</calcChain>
</file>

<file path=xl/sharedStrings.xml><?xml version="1.0" encoding="utf-8"?>
<sst xmlns="http://schemas.openxmlformats.org/spreadsheetml/2006/main" count="169" uniqueCount="116">
  <si>
    <t>Proyecto PrevenTech</t>
  </si>
  <si>
    <r>
      <rPr>
        <sz val="8"/>
        <color rgb="FFCCCCCC"/>
        <rFont val="Roboto"/>
      </rPr>
      <t xml:space="preserve">Gantt Chart Template © 2020 by </t>
    </r>
    <r>
      <rPr>
        <u/>
        <sz val="8"/>
        <color rgb="FFCCCCCC"/>
        <rFont val="Roboto"/>
      </rPr>
      <t>Vertex42.com</t>
    </r>
  </si>
  <si>
    <t>Condominio El Descanso</t>
  </si>
  <si>
    <t>Inicio del proyecto:</t>
  </si>
  <si>
    <t>Sistema de Gestión de Mantenimiento Preventivo</t>
  </si>
  <si>
    <t>Semana para mostrar:</t>
  </si>
  <si>
    <t>TAREA</t>
  </si>
  <si>
    <t>ASIGNADO A</t>
  </si>
  <si>
    <t>PROGRESO</t>
  </si>
  <si>
    <t>INICIO</t>
  </si>
  <si>
    <t>DÍAS</t>
  </si>
  <si>
    <t>FIN</t>
  </si>
  <si>
    <t>Análisis y Planificación</t>
  </si>
  <si>
    <t>Identificación del problema</t>
  </si>
  <si>
    <t>Lesly Díaz</t>
  </si>
  <si>
    <t>Reunión con cliente</t>
  </si>
  <si>
    <t>Equipo completo</t>
  </si>
  <si>
    <t>Recopilación de información</t>
  </si>
  <si>
    <t>Definición de objetivos y alcance</t>
  </si>
  <si>
    <t>Definición de arquitectura</t>
  </si>
  <si>
    <t>Ruth Gonzalez</t>
  </si>
  <si>
    <t>Levantamiento requerimientos funcionales</t>
  </si>
  <si>
    <t>Maira Vidal</t>
  </si>
  <si>
    <t>Levantamiento requerimientos no funcionales</t>
  </si>
  <si>
    <t>Definición de la metodología</t>
  </si>
  <si>
    <t>Creación del repositorio en GitHub</t>
  </si>
  <si>
    <t>Elaboración del Modelo Entidad-Relación (MER)</t>
  </si>
  <si>
    <t>Elaboración de la Carta Gantt</t>
  </si>
  <si>
    <t>Elaboración de la planilla de riesgos</t>
  </si>
  <si>
    <t>Elaboración de la hoja de ruta del proyecto</t>
  </si>
  <si>
    <t>Identificación de microservicios</t>
  </si>
  <si>
    <t>Diagrama de actividad</t>
  </si>
  <si>
    <t>Diagrama de casos de uso</t>
  </si>
  <si>
    <t>Diagrama de clases</t>
  </si>
  <si>
    <t>Diagrama de componentes</t>
  </si>
  <si>
    <t>Diagrama de comunicación</t>
  </si>
  <si>
    <t>Diagrama de despliegue</t>
  </si>
  <si>
    <t>Diagrama de paquetes</t>
  </si>
  <si>
    <t>Diagrama de secuencia</t>
  </si>
  <si>
    <t>Mockup en Canva</t>
  </si>
  <si>
    <t>Diseño y Desarrollo</t>
  </si>
  <si>
    <t>Configuración del entorno de desarrollo</t>
  </si>
  <si>
    <t>Planificación técnica del desarrollo</t>
  </si>
  <si>
    <t>Creación del proyecto Backend en Spring Boot</t>
  </si>
  <si>
    <t>Diseño físico de la base de datos en MySQL</t>
  </si>
  <si>
    <t>Ruth González</t>
  </si>
  <si>
    <t>Configuración del entorno Frontend en React</t>
  </si>
  <si>
    <t>Implementación de la base de datos</t>
  </si>
  <si>
    <t>Desarrollo del microservicio de autenticación</t>
  </si>
  <si>
    <t>Desarrollo de interfaces de usuario</t>
  </si>
  <si>
    <t>Configuración de la conexión Backend–Base de Datos</t>
  </si>
  <si>
    <t>Desarrollo del microservicio principal</t>
  </si>
  <si>
    <t>Implementación de componentes y navegación</t>
  </si>
  <si>
    <t>Implementación de APIs REST</t>
  </si>
  <si>
    <t>Gestión y versionado del repositorio</t>
  </si>
  <si>
    <t>Integración del Frontend con el Backend</t>
  </si>
  <si>
    <t>Integración general del sistema</t>
  </si>
  <si>
    <t>Documentación técnica del sistema</t>
  </si>
  <si>
    <t>Pruebas y Validación</t>
  </si>
  <si>
    <t>Planificación de las pruebas</t>
  </si>
  <si>
    <t>Elaboración de casos de prueba</t>
  </si>
  <si>
    <t>Preparación del entorno de pruebas</t>
  </si>
  <si>
    <t>Ejecución de pruebas unitarias de la base de datos</t>
  </si>
  <si>
    <t>Pruebas unitarias del Backend</t>
  </si>
  <si>
    <t>Pruebas unitarias del Frontend</t>
  </si>
  <si>
    <t>Pruebas de integración del Backend</t>
  </si>
  <si>
    <t>Pruebas de integración del Frontend</t>
  </si>
  <si>
    <t>Pruebas de integración con la base de datos</t>
  </si>
  <si>
    <t>Pruebas funcionales del sistema</t>
  </si>
  <si>
    <t>Pruebas de usabilidad</t>
  </si>
  <si>
    <t>Identificación y registro de errores</t>
  </si>
  <si>
    <t>Corrección de errores del Backend</t>
  </si>
  <si>
    <t>Corrección de errores del Frontend y validación final</t>
  </si>
  <si>
    <t>Presentación Final</t>
  </si>
  <si>
    <t>Elaboración del informe final</t>
  </si>
  <si>
    <t>Preparación de la demostración del sistema</t>
  </si>
  <si>
    <t>Diseño de la presentación y diapositivas</t>
  </si>
  <si>
    <t>Ensayo general de la exposición</t>
  </si>
  <si>
    <t>Presentación final del proyecto</t>
  </si>
  <si>
    <t>Help</t>
  </si>
  <si>
    <t>Instead of detailed help worksheet, please do the following if you have questions about how this spreadsheet works, or how to use this spreadsheet.</t>
  </si>
  <si>
    <t>1) Watch the Video Tutorial on YouTube</t>
  </si>
  <si>
    <t>https://youtu.be/8eKk0M2zGIk</t>
  </si>
  <si>
    <t>2) Read the Following Page</t>
  </si>
  <si>
    <t>https://www.vertex42.com/ExcelTemplates/simple-gantt-chart.html</t>
  </si>
  <si>
    <t>Although the content on the above page was created originally for the Excel template, most of the information about the use of formulas and ways to customize the Gantt chart apply just as well to the Google Sheets version.</t>
  </si>
  <si>
    <t>Formula for % Complete of a summary task, based on its sub tasks:</t>
  </si>
  <si>
    <t>SUMPRODUCT(days_range,percent_complete_range)/SUM(days_range)</t>
  </si>
  <si>
    <t>To show the % Complete within the bars in the Gantt chart:</t>
  </si>
  <si>
    <t>Select a cell within the Gantt chart area and go to Format &gt; Conditional Formatting, then "turn on" the grey bar rule by changing 1=0 to 1=1 within the AND function.</t>
  </si>
  <si>
    <t>Simple Gantt Chart for Google Sheets</t>
  </si>
  <si>
    <t>© 2020 Vertex42 LLC. All rights reserved.</t>
  </si>
  <si>
    <t>This template is a copyrighted work under the Unites States and other copyright laws and is the property of Vertex42 LLC. The items listed below are additional points to help clarify how you may use this template.</t>
  </si>
  <si>
    <t>You may make archival copies and customize this template only for your personal use or use within your company or organization and not for resale or public sharing.</t>
  </si>
  <si>
    <t>You may not remove or alter any logo, trademark, copyright, disclaimer, brand, terms of use, attribution, or other proprietary notices or marks within this template.</t>
  </si>
  <si>
    <t>This template and any customized or modified version of this template may NOT be sold, distributed, published to an online gallery, hosted on a website, or placed on a public server.</t>
  </si>
  <si>
    <t>The Share Settings for this spreadsheet must always be set to "Private"</t>
  </si>
  <si>
    <t>Limited Private Sharing and Other Allowed Uses</t>
  </si>
  <si>
    <t>See the complete license agreement to learn more about how you may or may not use this template.</t>
  </si>
  <si>
    <t>View the Complete License Agreement</t>
  </si>
  <si>
    <t>Gantt Chart Template Pro for Google Sheets</t>
  </si>
  <si>
    <t>Gantt Chart Template Pro, by Vertex42.com, is a spreadsheet template designed originally for Microsoft Excel that offers more features than the free version. When you purchase it, you will also get a link to download the Pro version for Google Sheets!!</t>
  </si>
  <si>
    <t xml:space="preserve"> - Visit the web page above to view screenshots and watch demo videos</t>
  </si>
  <si>
    <t>Features in the Pro version for Google Sheets</t>
  </si>
  <si>
    <t>Define task durations by specifying the number of Work Days</t>
  </si>
  <si>
    <t xml:space="preserve"> - In this free version, the inputs to define a task are the Start Date and the Calendar Day duration. In the Pro version, the default option is to enter the Start Date and the number of Work Days.</t>
  </si>
  <si>
    <t>Choose whether to define task durations using Calendar Days or Work Days or End Dates</t>
  </si>
  <si>
    <t xml:space="preserve"> - The Pro version includes a larger set of template rows that provide more options for defining the Start date, End date, duration, and dependency of tasks.</t>
  </si>
  <si>
    <t>Exclude holidays from work days</t>
  </si>
  <si>
    <t xml:space="preserve"> - List holidays and other non-working days in a separate sheet. When defining task durations using Work Days, these dates will be excluded.</t>
  </si>
  <si>
    <t>Define what you mean by "Weekend" when using Work Days</t>
  </si>
  <si>
    <t xml:space="preserve"> - The Pro version allows you to define exactly which day(s) of the week you want to use as your weekend. The default is Saturday and Sunday.</t>
  </si>
  <si>
    <t>Color-Code bars in the Gantt chart</t>
  </si>
  <si>
    <t xml:space="preserve"> - The Pro version includes a column for entering a color code like "k", "r", or "y" to change the color of the bars in the Gantt chart. The Help worksheet explains some advanced formulas that you could use in the Color column to automatically color a bar based on the name in the Lead column.</t>
  </si>
  <si>
    <t>Define tasks dependences by specifying the predecessor WBS</t>
  </si>
  <si>
    <t xml:space="preserve"> - The template rows include an option for entering a Predecessor WBS. The Start date will be calculated as the day following the End date of the predecessor.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</si>
</sst>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 &quot;mmm&quot; &quot;yyyy"/>
    <numFmt numFmtId="165" formatCode="d"/>
    <numFmt numFmtId="166" formatCode="m/d/yyyy"/>
  </numFmts>
  <fonts count="31" x14ac:knownFonts="1">
    <font>
      <sz val="10"/>
      <color rgb="FF000000"/>
      <name val="Arial"/>
      <scheme val="minor"/>
    </font>
    <font>
      <b/>
      <sz val="18"/>
      <color rgb="FF0B5394"/>
      <name val="Roboto"/>
    </font>
    <font>
      <sz val="10"/>
      <color theme="1"/>
      <name val="Roboto"/>
    </font>
    <font>
      <u/>
      <sz val="8"/>
      <color rgb="FFCCCCCC"/>
      <name val="Roboto"/>
    </font>
    <font>
      <b/>
      <sz val="11"/>
      <color theme="1"/>
      <name val="Roboto"/>
    </font>
    <font>
      <b/>
      <sz val="10"/>
      <color theme="1"/>
      <name val="Roboto"/>
    </font>
    <font>
      <sz val="10"/>
      <color theme="1"/>
      <name val="Roboto"/>
    </font>
    <font>
      <sz val="11"/>
      <color theme="1"/>
      <name val="Roboto"/>
    </font>
    <font>
      <b/>
      <sz val="9"/>
      <color theme="1"/>
      <name val="Roboto"/>
    </font>
    <font>
      <sz val="10"/>
      <name val="Arial"/>
    </font>
    <font>
      <sz val="9"/>
      <color theme="1"/>
      <name val="Roboto"/>
    </font>
    <font>
      <sz val="8"/>
      <color theme="1"/>
      <name val="Roboto"/>
    </font>
    <font>
      <b/>
      <sz val="9"/>
      <color rgb="FFFFFFFF"/>
      <name val="Roboto"/>
    </font>
    <font>
      <b/>
      <sz val="8"/>
      <color rgb="FFFFFFFF"/>
      <name val="Roboto"/>
    </font>
    <font>
      <b/>
      <sz val="8"/>
      <color theme="1"/>
      <name val="Roboto"/>
    </font>
    <font>
      <b/>
      <sz val="18"/>
      <color rgb="FFFFFFFF"/>
      <name val="Arial"/>
    </font>
    <font>
      <sz val="12"/>
      <color theme="1"/>
      <name val="Arial"/>
    </font>
    <font>
      <sz val="12"/>
      <color rgb="FF000000"/>
      <name val="Arial"/>
    </font>
    <font>
      <b/>
      <u/>
      <sz val="12"/>
      <color rgb="FF0000FF"/>
      <name val="Arial"/>
    </font>
    <font>
      <i/>
      <sz val="12"/>
      <color theme="1"/>
      <name val="Arial"/>
    </font>
    <font>
      <sz val="10"/>
      <color theme="1"/>
      <name val="Arial"/>
    </font>
    <font>
      <u/>
      <sz val="12"/>
      <color rgb="FF0000FF"/>
      <name val="Arial"/>
    </font>
    <font>
      <sz val="11"/>
      <color rgb="FF000000"/>
      <name val="Arial"/>
    </font>
    <font>
      <sz val="11"/>
      <color theme="1"/>
      <name val="Arial"/>
    </font>
    <font>
      <b/>
      <sz val="11"/>
      <color rgb="FF000000"/>
      <name val="Arial"/>
    </font>
    <font>
      <u/>
      <sz val="11"/>
      <color rgb="FF0000FF"/>
      <name val="Arial"/>
    </font>
    <font>
      <u/>
      <sz val="14"/>
      <color rgb="FF0000FF"/>
      <name val="Arial"/>
    </font>
    <font>
      <b/>
      <sz val="10"/>
      <color theme="1"/>
      <name val="Arial"/>
    </font>
    <font>
      <b/>
      <sz val="14"/>
      <color rgb="FF073763"/>
      <name val="Arial"/>
    </font>
    <font>
      <sz val="10"/>
      <color rgb="FF073763"/>
      <name val="Arial"/>
    </font>
    <font>
      <sz val="8"/>
      <color rgb="FFCCCCCC"/>
      <name val="Roboto"/>
    </font>
  </fonts>
  <fills count="7">
    <fill>
      <patternFill patternType="none"/>
    </fill>
    <fill>
      <patternFill patternType="gray125"/>
    </fill>
    <fill>
      <patternFill patternType="solid">
        <fgColor rgb="FFF3F3F3"/>
        <bgColor rgb="FFF3F3F3"/>
      </patternFill>
    </fill>
    <fill>
      <patternFill patternType="solid">
        <fgColor rgb="FF666666"/>
        <bgColor rgb="FF666666"/>
      </patternFill>
    </fill>
    <fill>
      <patternFill patternType="solid">
        <fgColor rgb="FF9FC5E8"/>
        <bgColor rgb="FF9FC5E8"/>
      </patternFill>
    </fill>
    <fill>
      <patternFill patternType="solid">
        <fgColor rgb="FF0B5394"/>
        <bgColor rgb="FF0B5394"/>
      </patternFill>
    </fill>
    <fill>
      <patternFill patternType="solid">
        <fgColor rgb="FFCFE2F3"/>
        <bgColor rgb="FFCFE2F3"/>
      </patternFill>
    </fill>
  </fills>
  <borders count="13">
    <border>
      <left/>
      <right/>
      <top/>
      <bottom/>
      <diagonal/>
    </border>
    <border>
      <left style="thin">
        <color rgb="FFB7B7B7"/>
      </left>
      <right style="thin">
        <color rgb="FFB7B7B7"/>
      </right>
      <top style="thin">
        <color rgb="FFB7B7B7"/>
      </top>
      <bottom style="thin">
        <color rgb="FFB7B7B7"/>
      </bottom>
      <diagonal/>
    </border>
    <border>
      <left style="thin">
        <color rgb="FF666666"/>
      </left>
      <right/>
      <top style="thin">
        <color rgb="FF666666"/>
      </top>
      <bottom/>
      <diagonal/>
    </border>
    <border>
      <left/>
      <right/>
      <top style="thin">
        <color rgb="FF666666"/>
      </top>
      <bottom/>
      <diagonal/>
    </border>
    <border>
      <left/>
      <right style="thin">
        <color rgb="FF666666"/>
      </right>
      <top style="thin">
        <color rgb="FF666666"/>
      </top>
      <bottom/>
      <diagonal/>
    </border>
    <border>
      <left style="thin">
        <color rgb="FF666666"/>
      </left>
      <right/>
      <top/>
      <bottom/>
      <diagonal/>
    </border>
    <border>
      <left/>
      <right style="thin">
        <color rgb="FF666666"/>
      </right>
      <top/>
      <bottom/>
      <diagonal/>
    </border>
    <border>
      <left style="thin">
        <color rgb="FFB7B7B7"/>
      </left>
      <right/>
      <top/>
      <bottom/>
      <diagonal/>
    </border>
    <border>
      <left/>
      <right style="thin">
        <color rgb="FFB7B7B7"/>
      </right>
      <top/>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top style="thin">
        <color rgb="FFB7B7B7"/>
      </top>
      <bottom style="thin">
        <color rgb="FFB7B7B7"/>
      </bottom>
      <diagonal/>
    </border>
    <border>
      <left/>
      <right/>
      <top/>
      <bottom/>
      <diagonal/>
    </border>
  </borders>
  <cellStyleXfs count="1">
    <xf numFmtId="0" fontId="0" fillId="0" borderId="0"/>
  </cellStyleXfs>
  <cellXfs count="58">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right" vertical="center"/>
    </xf>
    <xf numFmtId="164" fontId="5" fillId="0" borderId="1" xfId="0" applyNumberFormat="1" applyFont="1" applyBorder="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horizontal="center" vertical="center"/>
    </xf>
    <xf numFmtId="0" fontId="6" fillId="0" borderId="0" xfId="0" applyFont="1" applyAlignment="1">
      <alignment horizontal="right" vertical="center"/>
    </xf>
    <xf numFmtId="0" fontId="6" fillId="0" borderId="1" xfId="0" applyFont="1" applyBorder="1" applyAlignment="1">
      <alignment horizontal="center" vertical="center"/>
    </xf>
    <xf numFmtId="0" fontId="10" fillId="0" borderId="0" xfId="0" applyFont="1" applyAlignment="1">
      <alignment vertical="center"/>
    </xf>
    <xf numFmtId="0" fontId="10" fillId="0" borderId="0" xfId="0" applyFont="1" applyAlignment="1">
      <alignment horizontal="center" vertical="center"/>
    </xf>
    <xf numFmtId="165" fontId="11" fillId="2" borderId="5" xfId="0" applyNumberFormat="1" applyFont="1" applyFill="1" applyBorder="1" applyAlignment="1">
      <alignment horizontal="center" vertical="center"/>
    </xf>
    <xf numFmtId="165" fontId="11" fillId="2" borderId="0" xfId="0" applyNumberFormat="1" applyFont="1" applyFill="1" applyAlignment="1">
      <alignment horizontal="center" vertical="center"/>
    </xf>
    <xf numFmtId="165" fontId="11" fillId="2" borderId="6" xfId="0" applyNumberFormat="1" applyFont="1" applyFill="1" applyBorder="1" applyAlignment="1">
      <alignment horizontal="center" vertical="center"/>
    </xf>
    <xf numFmtId="0" fontId="12" fillId="3" borderId="0" xfId="0" applyFont="1" applyFill="1" applyAlignment="1">
      <alignment vertical="center"/>
    </xf>
    <xf numFmtId="0" fontId="12" fillId="3" borderId="0" xfId="0" applyFont="1" applyFill="1" applyAlignment="1">
      <alignment horizontal="center" vertical="center"/>
    </xf>
    <xf numFmtId="0" fontId="13" fillId="3" borderId="0" xfId="0" applyFont="1" applyFill="1" applyAlignment="1">
      <alignment horizontal="center" vertical="center"/>
    </xf>
    <xf numFmtId="0" fontId="4" fillId="4" borderId="0" xfId="0" applyFont="1" applyFill="1" applyAlignment="1">
      <alignment vertical="center"/>
    </xf>
    <xf numFmtId="166" fontId="4" fillId="4" borderId="0" xfId="0" applyNumberFormat="1" applyFont="1" applyFill="1" applyAlignment="1">
      <alignment horizontal="center" vertical="center"/>
    </xf>
    <xf numFmtId="9" fontId="14" fillId="4" borderId="7" xfId="0" applyNumberFormat="1" applyFont="1" applyFill="1" applyBorder="1" applyAlignment="1">
      <alignment horizontal="center" vertical="center"/>
    </xf>
    <xf numFmtId="164" fontId="5" fillId="4" borderId="0" xfId="0" applyNumberFormat="1" applyFont="1" applyFill="1" applyAlignment="1">
      <alignment horizontal="center" vertical="center"/>
    </xf>
    <xf numFmtId="0" fontId="5" fillId="4" borderId="0" xfId="0" applyFont="1" applyFill="1" applyAlignment="1">
      <alignment horizontal="center" vertical="center"/>
    </xf>
    <xf numFmtId="0" fontId="4" fillId="4" borderId="0" xfId="0" applyFont="1" applyFill="1" applyAlignment="1">
      <alignment horizontal="center" vertical="center"/>
    </xf>
    <xf numFmtId="0" fontId="7" fillId="0" borderId="10" xfId="0" applyFont="1" applyBorder="1" applyAlignment="1">
      <alignment vertical="center"/>
    </xf>
    <xf numFmtId="0" fontId="7" fillId="0" borderId="10" xfId="0" applyFont="1" applyBorder="1" applyAlignment="1">
      <alignment horizontal="center" vertical="center"/>
    </xf>
    <xf numFmtId="9" fontId="11" fillId="0" borderId="11" xfId="0" applyNumberFormat="1" applyFont="1" applyBorder="1" applyAlignment="1">
      <alignment horizontal="center" vertical="center"/>
    </xf>
    <xf numFmtId="164" fontId="6" fillId="0" borderId="10" xfId="0" applyNumberFormat="1" applyFont="1" applyBorder="1" applyAlignment="1">
      <alignment horizontal="center" vertical="center"/>
    </xf>
    <xf numFmtId="0" fontId="6" fillId="0" borderId="10" xfId="0" applyFont="1" applyBorder="1" applyAlignment="1">
      <alignment horizontal="center" vertical="center"/>
    </xf>
    <xf numFmtId="0" fontId="15" fillId="5" borderId="0" xfId="0" applyFont="1" applyFill="1" applyAlignment="1">
      <alignment vertical="center"/>
    </xf>
    <xf numFmtId="0" fontId="16" fillId="0" borderId="0" xfId="0" applyFont="1" applyAlignment="1">
      <alignment wrapText="1"/>
    </xf>
    <xf numFmtId="0" fontId="17" fillId="0" borderId="0" xfId="0" applyFont="1" applyAlignment="1">
      <alignment vertical="top" wrapText="1"/>
    </xf>
    <xf numFmtId="0" fontId="18" fillId="0" borderId="0" xfId="0" applyFont="1" applyAlignment="1">
      <alignment wrapText="1"/>
    </xf>
    <xf numFmtId="0" fontId="19" fillId="0" borderId="0" xfId="0" applyFont="1" applyAlignment="1">
      <alignment wrapText="1"/>
    </xf>
    <xf numFmtId="0" fontId="16" fillId="0" borderId="0" xfId="0" applyFont="1"/>
    <xf numFmtId="0" fontId="20" fillId="0" borderId="0" xfId="0" applyFont="1" applyAlignment="1">
      <alignment wrapText="1"/>
    </xf>
    <xf numFmtId="0" fontId="21" fillId="0" borderId="0" xfId="0" applyFont="1" applyAlignment="1">
      <alignment wrapText="1"/>
    </xf>
    <xf numFmtId="0" fontId="22" fillId="0" borderId="0" xfId="0" applyFont="1" applyAlignment="1">
      <alignment vertical="top" wrapText="1"/>
    </xf>
    <xf numFmtId="0" fontId="23" fillId="0" borderId="0" xfId="0" applyFont="1" applyAlignment="1">
      <alignment wrapText="1"/>
    </xf>
    <xf numFmtId="0" fontId="24" fillId="0" borderId="0" xfId="0" applyFont="1" applyAlignment="1">
      <alignment vertical="top" wrapText="1"/>
    </xf>
    <xf numFmtId="0" fontId="20" fillId="0" borderId="0" xfId="0" applyFont="1" applyAlignment="1">
      <alignment horizontal="left" vertical="center"/>
    </xf>
    <xf numFmtId="0" fontId="24" fillId="6" borderId="0" xfId="0" applyFont="1" applyFill="1" applyAlignment="1">
      <alignment horizontal="left" vertical="center" wrapText="1"/>
    </xf>
    <xf numFmtId="0" fontId="25" fillId="0" borderId="0" xfId="0" applyFont="1" applyAlignment="1">
      <alignment vertical="top" wrapText="1"/>
    </xf>
    <xf numFmtId="0" fontId="26" fillId="0" borderId="0" xfId="0" applyFont="1"/>
    <xf numFmtId="0" fontId="27" fillId="0" borderId="0" xfId="0" applyFont="1"/>
    <xf numFmtId="0" fontId="28" fillId="6" borderId="12" xfId="0" applyFont="1" applyFill="1" applyBorder="1" applyAlignment="1">
      <alignment vertical="center"/>
    </xf>
    <xf numFmtId="0" fontId="29" fillId="6" borderId="0" xfId="0" applyFont="1" applyFill="1" applyAlignment="1">
      <alignment vertical="center"/>
    </xf>
    <xf numFmtId="164" fontId="8" fillId="2" borderId="2" xfId="0" applyNumberFormat="1" applyFont="1" applyFill="1" applyBorder="1" applyAlignment="1">
      <alignment horizontal="left" vertical="center"/>
    </xf>
    <xf numFmtId="0" fontId="9" fillId="0" borderId="3" xfId="0" applyFont="1" applyBorder="1"/>
    <xf numFmtId="0" fontId="9" fillId="0" borderId="4" xfId="0" applyFont="1" applyBorder="1"/>
    <xf numFmtId="0" fontId="12" fillId="3" borderId="7" xfId="0" applyFont="1" applyFill="1" applyBorder="1" applyAlignment="1">
      <alignment horizontal="center" vertical="center"/>
    </xf>
    <xf numFmtId="0" fontId="9" fillId="0" borderId="8" xfId="0" applyFont="1" applyBorder="1"/>
    <xf numFmtId="9" fontId="7" fillId="4" borderId="9" xfId="0" applyNumberFormat="1" applyFont="1" applyFill="1" applyBorder="1" applyAlignment="1">
      <alignment horizontal="center" vertical="center"/>
    </xf>
  </cellXfs>
  <cellStyles count="1">
    <cellStyle name="Normal" xfId="0" builtinId="0"/>
  </cellStyles>
  <dxfs count="6">
    <dxf>
      <fill>
        <patternFill patternType="solid">
          <fgColor rgb="FF0B5394"/>
          <bgColor rgb="FF0B5394"/>
        </patternFill>
      </fill>
    </dxf>
    <dxf>
      <fill>
        <patternFill patternType="solid">
          <fgColor rgb="FFCCCCCC"/>
          <bgColor rgb="FFCCCCCC"/>
        </patternFill>
      </fill>
    </dxf>
    <dxf>
      <font>
        <b/>
        <color rgb="FFFFFFFF"/>
      </font>
      <fill>
        <patternFill patternType="solid">
          <fgColor rgb="FFA61C00"/>
          <bgColor rgb="FFA61C00"/>
        </patternFill>
      </fill>
    </dxf>
    <dxf>
      <fill>
        <patternFill patternType="solid">
          <fgColor rgb="FF0B5394"/>
          <bgColor rgb="FF0B5394"/>
        </patternFill>
      </fill>
    </dxf>
    <dxf>
      <fill>
        <patternFill patternType="solid">
          <fgColor rgb="FFCCCCCC"/>
          <bgColor rgb="FFCCCCCC"/>
        </patternFill>
      </fill>
    </dxf>
    <dxf>
      <font>
        <b/>
        <color rgb="FFFFFFFF"/>
      </font>
      <fill>
        <patternFill patternType="solid">
          <fgColor rgb="FFA61C00"/>
          <bgColor rgb="FFA61C00"/>
        </patternFill>
      </fill>
    </dxf>
  </dxfs>
  <tableStyles count="0" defaultTableStyle="TableStyleMedium2"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1209675" cy="333375"/>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0</xdr:rowOff>
    </xdr:from>
    <xdr:ext cx="1352550" cy="38100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9525</xdr:colOff>
      <xdr:row>24</xdr:row>
      <xdr:rowOff>161925</xdr:rowOff>
    </xdr:from>
    <xdr:ext cx="3067050" cy="224790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28575</xdr:colOff>
      <xdr:row>39</xdr:row>
      <xdr:rowOff>161925</xdr:rowOff>
    </xdr:from>
    <xdr:ext cx="3067050" cy="1619250"/>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0</xdr:colOff>
      <xdr:row>0</xdr:row>
      <xdr:rowOff>0</xdr:rowOff>
    </xdr:from>
    <xdr:ext cx="1190625" cy="333375"/>
    <xdr:pic>
      <xdr:nvPicPr>
        <xdr:cNvPr id="4" name="image3.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vertex42.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vertex42.com/ExcelTemplates/simple-gantt-chart.html" TargetMode="External"/><Relationship Id="rId1" Type="http://schemas.openxmlformats.org/officeDocument/2006/relationships/hyperlink" Target="https://youtu.be/8eKk0M2zGI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L1000"/>
  <sheetViews>
    <sheetView showGridLines="0" tabSelected="1" workbookViewId="0">
      <selection activeCell="R48" sqref="R48"/>
    </sheetView>
  </sheetViews>
  <sheetFormatPr defaultColWidth="12.6640625" defaultRowHeight="15" customHeight="1" x14ac:dyDescent="0.25"/>
  <cols>
    <col min="1" max="1" width="42.33203125" customWidth="1"/>
    <col min="2" max="2" width="20.33203125" customWidth="1"/>
    <col min="3" max="3" width="6.6640625" customWidth="1"/>
    <col min="4" max="4" width="14.5546875" customWidth="1"/>
    <col min="5" max="5" width="15.109375" customWidth="1"/>
    <col min="6" max="6" width="5.33203125" customWidth="1"/>
    <col min="7" max="7" width="15.109375" customWidth="1"/>
    <col min="8" max="8" width="2.21875" customWidth="1"/>
    <col min="9" max="64" width="2.109375" customWidth="1"/>
  </cols>
  <sheetData>
    <row r="1" spans="1:64" ht="15.75" customHeight="1" x14ac:dyDescent="0.25">
      <c r="A1" s="1" t="s">
        <v>0</v>
      </c>
      <c r="B1" s="2"/>
      <c r="C1" s="3"/>
      <c r="D1" s="3"/>
      <c r="E1" s="3"/>
      <c r="F1" s="3"/>
      <c r="G1" s="3"/>
      <c r="H1" s="3"/>
      <c r="I1" s="4" t="s">
        <v>1</v>
      </c>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row>
    <row r="2" spans="1:64" ht="18.75" customHeight="1" x14ac:dyDescent="0.25">
      <c r="A2" s="5" t="s">
        <v>2</v>
      </c>
      <c r="B2" s="6"/>
      <c r="C2" s="5"/>
      <c r="D2" s="5"/>
      <c r="E2" s="7"/>
      <c r="F2" s="8" t="s">
        <v>3</v>
      </c>
      <c r="G2" s="9">
        <v>46092</v>
      </c>
      <c r="H2" s="10"/>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row>
    <row r="3" spans="1:64" ht="18.75" customHeight="1" x14ac:dyDescent="0.25">
      <c r="A3" s="11" t="s">
        <v>4</v>
      </c>
      <c r="B3" s="12"/>
      <c r="C3" s="11"/>
      <c r="D3" s="11"/>
      <c r="E3" s="10"/>
      <c r="F3" s="13" t="s">
        <v>5</v>
      </c>
      <c r="G3" s="14">
        <v>1</v>
      </c>
      <c r="H3" s="10"/>
      <c r="I3" s="52">
        <f>I4</f>
        <v>46090</v>
      </c>
      <c r="J3" s="53"/>
      <c r="K3" s="53"/>
      <c r="L3" s="53"/>
      <c r="M3" s="53"/>
      <c r="N3" s="53"/>
      <c r="O3" s="54"/>
      <c r="P3" s="52">
        <f>P4</f>
        <v>46097</v>
      </c>
      <c r="Q3" s="53"/>
      <c r="R3" s="53"/>
      <c r="S3" s="53"/>
      <c r="T3" s="53"/>
      <c r="U3" s="53"/>
      <c r="V3" s="54"/>
      <c r="W3" s="52">
        <f>W4</f>
        <v>46104</v>
      </c>
      <c r="X3" s="53"/>
      <c r="Y3" s="53"/>
      <c r="Z3" s="53"/>
      <c r="AA3" s="53"/>
      <c r="AB3" s="53"/>
      <c r="AC3" s="54"/>
      <c r="AD3" s="52">
        <f>AD4</f>
        <v>46111</v>
      </c>
      <c r="AE3" s="53"/>
      <c r="AF3" s="53"/>
      <c r="AG3" s="53"/>
      <c r="AH3" s="53"/>
      <c r="AI3" s="53"/>
      <c r="AJ3" s="54"/>
      <c r="AK3" s="52">
        <f>AK4</f>
        <v>46118</v>
      </c>
      <c r="AL3" s="53"/>
      <c r="AM3" s="53"/>
      <c r="AN3" s="53"/>
      <c r="AO3" s="53"/>
      <c r="AP3" s="53"/>
      <c r="AQ3" s="54"/>
      <c r="AR3" s="52">
        <f>AR4</f>
        <v>46125</v>
      </c>
      <c r="AS3" s="53"/>
      <c r="AT3" s="53"/>
      <c r="AU3" s="53"/>
      <c r="AV3" s="53"/>
      <c r="AW3" s="53"/>
      <c r="AX3" s="54"/>
      <c r="AY3" s="52">
        <f>AY4</f>
        <v>46132</v>
      </c>
      <c r="AZ3" s="53"/>
      <c r="BA3" s="53"/>
      <c r="BB3" s="53"/>
      <c r="BC3" s="53"/>
      <c r="BD3" s="53"/>
      <c r="BE3" s="54"/>
      <c r="BF3" s="52">
        <f>BF4</f>
        <v>46139</v>
      </c>
      <c r="BG3" s="53"/>
      <c r="BH3" s="53"/>
      <c r="BI3" s="53"/>
      <c r="BJ3" s="53"/>
      <c r="BK3" s="53"/>
      <c r="BL3" s="54"/>
    </row>
    <row r="4" spans="1:64" ht="18.75" customHeight="1" x14ac:dyDescent="0.25">
      <c r="A4" s="15"/>
      <c r="B4" s="16"/>
      <c r="C4" s="16"/>
      <c r="D4" s="16"/>
      <c r="E4" s="16"/>
      <c r="F4" s="16"/>
      <c r="G4" s="16"/>
      <c r="H4" s="16"/>
      <c r="I4" s="17">
        <f>$G$2-WEEKDAY(G2,3)+(G3-1)*7</f>
        <v>46090</v>
      </c>
      <c r="J4" s="18">
        <f t="shared" ref="J4:BL4" si="0">I4+1</f>
        <v>46091</v>
      </c>
      <c r="K4" s="18">
        <f t="shared" si="0"/>
        <v>46092</v>
      </c>
      <c r="L4" s="18">
        <f t="shared" si="0"/>
        <v>46093</v>
      </c>
      <c r="M4" s="18">
        <f t="shared" si="0"/>
        <v>46094</v>
      </c>
      <c r="N4" s="18">
        <f t="shared" si="0"/>
        <v>46095</v>
      </c>
      <c r="O4" s="19">
        <f t="shared" si="0"/>
        <v>46096</v>
      </c>
      <c r="P4" s="17">
        <f t="shared" si="0"/>
        <v>46097</v>
      </c>
      <c r="Q4" s="18">
        <f t="shared" si="0"/>
        <v>46098</v>
      </c>
      <c r="R4" s="18">
        <f t="shared" si="0"/>
        <v>46099</v>
      </c>
      <c r="S4" s="18">
        <f t="shared" si="0"/>
        <v>46100</v>
      </c>
      <c r="T4" s="18">
        <f t="shared" si="0"/>
        <v>46101</v>
      </c>
      <c r="U4" s="18">
        <f t="shared" si="0"/>
        <v>46102</v>
      </c>
      <c r="V4" s="19">
        <f t="shared" si="0"/>
        <v>46103</v>
      </c>
      <c r="W4" s="17">
        <f t="shared" si="0"/>
        <v>46104</v>
      </c>
      <c r="X4" s="18">
        <f t="shared" si="0"/>
        <v>46105</v>
      </c>
      <c r="Y4" s="18">
        <f t="shared" si="0"/>
        <v>46106</v>
      </c>
      <c r="Z4" s="18">
        <f t="shared" si="0"/>
        <v>46107</v>
      </c>
      <c r="AA4" s="18">
        <f t="shared" si="0"/>
        <v>46108</v>
      </c>
      <c r="AB4" s="18">
        <f t="shared" si="0"/>
        <v>46109</v>
      </c>
      <c r="AC4" s="19">
        <f t="shared" si="0"/>
        <v>46110</v>
      </c>
      <c r="AD4" s="17">
        <f t="shared" si="0"/>
        <v>46111</v>
      </c>
      <c r="AE4" s="18">
        <f t="shared" si="0"/>
        <v>46112</v>
      </c>
      <c r="AF4" s="18">
        <f t="shared" si="0"/>
        <v>46113</v>
      </c>
      <c r="AG4" s="18">
        <f t="shared" si="0"/>
        <v>46114</v>
      </c>
      <c r="AH4" s="18">
        <f t="shared" si="0"/>
        <v>46115</v>
      </c>
      <c r="AI4" s="18">
        <f t="shared" si="0"/>
        <v>46116</v>
      </c>
      <c r="AJ4" s="19">
        <f t="shared" si="0"/>
        <v>46117</v>
      </c>
      <c r="AK4" s="17">
        <f t="shared" si="0"/>
        <v>46118</v>
      </c>
      <c r="AL4" s="18">
        <f t="shared" si="0"/>
        <v>46119</v>
      </c>
      <c r="AM4" s="18">
        <f t="shared" si="0"/>
        <v>46120</v>
      </c>
      <c r="AN4" s="18">
        <f t="shared" si="0"/>
        <v>46121</v>
      </c>
      <c r="AO4" s="18">
        <f t="shared" si="0"/>
        <v>46122</v>
      </c>
      <c r="AP4" s="18">
        <f t="shared" si="0"/>
        <v>46123</v>
      </c>
      <c r="AQ4" s="19">
        <f t="shared" si="0"/>
        <v>46124</v>
      </c>
      <c r="AR4" s="17">
        <f t="shared" si="0"/>
        <v>46125</v>
      </c>
      <c r="AS4" s="18">
        <f t="shared" si="0"/>
        <v>46126</v>
      </c>
      <c r="AT4" s="18">
        <f t="shared" si="0"/>
        <v>46127</v>
      </c>
      <c r="AU4" s="18">
        <f t="shared" si="0"/>
        <v>46128</v>
      </c>
      <c r="AV4" s="18">
        <f t="shared" si="0"/>
        <v>46129</v>
      </c>
      <c r="AW4" s="18">
        <f t="shared" si="0"/>
        <v>46130</v>
      </c>
      <c r="AX4" s="19">
        <f t="shared" si="0"/>
        <v>46131</v>
      </c>
      <c r="AY4" s="17">
        <f t="shared" si="0"/>
        <v>46132</v>
      </c>
      <c r="AZ4" s="18">
        <f t="shared" si="0"/>
        <v>46133</v>
      </c>
      <c r="BA4" s="18">
        <f t="shared" si="0"/>
        <v>46134</v>
      </c>
      <c r="BB4" s="18">
        <f t="shared" si="0"/>
        <v>46135</v>
      </c>
      <c r="BC4" s="18">
        <f t="shared" si="0"/>
        <v>46136</v>
      </c>
      <c r="BD4" s="18">
        <f t="shared" si="0"/>
        <v>46137</v>
      </c>
      <c r="BE4" s="19">
        <f t="shared" si="0"/>
        <v>46138</v>
      </c>
      <c r="BF4" s="17">
        <f t="shared" si="0"/>
        <v>46139</v>
      </c>
      <c r="BG4" s="18">
        <f t="shared" si="0"/>
        <v>46140</v>
      </c>
      <c r="BH4" s="18">
        <f t="shared" si="0"/>
        <v>46141</v>
      </c>
      <c r="BI4" s="18">
        <f t="shared" si="0"/>
        <v>46142</v>
      </c>
      <c r="BJ4" s="18">
        <f t="shared" si="0"/>
        <v>46143</v>
      </c>
      <c r="BK4" s="18">
        <f t="shared" si="0"/>
        <v>46144</v>
      </c>
      <c r="BL4" s="19">
        <f t="shared" si="0"/>
        <v>46145</v>
      </c>
    </row>
    <row r="5" spans="1:64" ht="22.5" customHeight="1" x14ac:dyDescent="0.25">
      <c r="A5" s="20" t="s">
        <v>6</v>
      </c>
      <c r="B5" s="21" t="s">
        <v>7</v>
      </c>
      <c r="C5" s="55" t="s">
        <v>8</v>
      </c>
      <c r="D5" s="56"/>
      <c r="E5" s="21" t="s">
        <v>9</v>
      </c>
      <c r="F5" s="21" t="s">
        <v>10</v>
      </c>
      <c r="G5" s="21" t="s">
        <v>11</v>
      </c>
      <c r="H5" s="21"/>
      <c r="I5" s="22" t="str">
        <f t="shared" ref="I5:BL5" si="1">LEFT(TEXT(I4,"ddd"),1)</f>
        <v>l</v>
      </c>
      <c r="J5" s="22" t="str">
        <f t="shared" si="1"/>
        <v>m</v>
      </c>
      <c r="K5" s="22" t="str">
        <f t="shared" si="1"/>
        <v>m</v>
      </c>
      <c r="L5" s="22" t="str">
        <f t="shared" si="1"/>
        <v>j</v>
      </c>
      <c r="M5" s="22" t="str">
        <f t="shared" si="1"/>
        <v>v</v>
      </c>
      <c r="N5" s="22" t="str">
        <f t="shared" si="1"/>
        <v>s</v>
      </c>
      <c r="O5" s="22" t="str">
        <f t="shared" si="1"/>
        <v>d</v>
      </c>
      <c r="P5" s="22" t="str">
        <f t="shared" si="1"/>
        <v>l</v>
      </c>
      <c r="Q5" s="22" t="str">
        <f t="shared" si="1"/>
        <v>m</v>
      </c>
      <c r="R5" s="22" t="str">
        <f t="shared" si="1"/>
        <v>m</v>
      </c>
      <c r="S5" s="22" t="str">
        <f t="shared" si="1"/>
        <v>j</v>
      </c>
      <c r="T5" s="22" t="str">
        <f t="shared" si="1"/>
        <v>v</v>
      </c>
      <c r="U5" s="22" t="str">
        <f t="shared" si="1"/>
        <v>s</v>
      </c>
      <c r="V5" s="22" t="str">
        <f t="shared" si="1"/>
        <v>d</v>
      </c>
      <c r="W5" s="22" t="str">
        <f t="shared" si="1"/>
        <v>l</v>
      </c>
      <c r="X5" s="22" t="str">
        <f t="shared" si="1"/>
        <v>m</v>
      </c>
      <c r="Y5" s="22" t="str">
        <f t="shared" si="1"/>
        <v>m</v>
      </c>
      <c r="Z5" s="22" t="str">
        <f t="shared" si="1"/>
        <v>j</v>
      </c>
      <c r="AA5" s="22" t="str">
        <f t="shared" si="1"/>
        <v>v</v>
      </c>
      <c r="AB5" s="22" t="str">
        <f t="shared" si="1"/>
        <v>s</v>
      </c>
      <c r="AC5" s="22" t="str">
        <f t="shared" si="1"/>
        <v>d</v>
      </c>
      <c r="AD5" s="22" t="str">
        <f t="shared" si="1"/>
        <v>l</v>
      </c>
      <c r="AE5" s="22" t="str">
        <f t="shared" si="1"/>
        <v>m</v>
      </c>
      <c r="AF5" s="22" t="str">
        <f t="shared" si="1"/>
        <v>m</v>
      </c>
      <c r="AG5" s="22" t="str">
        <f t="shared" si="1"/>
        <v>j</v>
      </c>
      <c r="AH5" s="22" t="str">
        <f t="shared" si="1"/>
        <v>v</v>
      </c>
      <c r="AI5" s="22" t="str">
        <f t="shared" si="1"/>
        <v>s</v>
      </c>
      <c r="AJ5" s="22" t="str">
        <f t="shared" si="1"/>
        <v>d</v>
      </c>
      <c r="AK5" s="22" t="str">
        <f t="shared" si="1"/>
        <v>l</v>
      </c>
      <c r="AL5" s="22" t="str">
        <f t="shared" si="1"/>
        <v>m</v>
      </c>
      <c r="AM5" s="22" t="str">
        <f t="shared" si="1"/>
        <v>m</v>
      </c>
      <c r="AN5" s="22" t="str">
        <f t="shared" si="1"/>
        <v>j</v>
      </c>
      <c r="AO5" s="22" t="str">
        <f t="shared" si="1"/>
        <v>v</v>
      </c>
      <c r="AP5" s="22" t="str">
        <f t="shared" si="1"/>
        <v>s</v>
      </c>
      <c r="AQ5" s="22" t="str">
        <f t="shared" si="1"/>
        <v>d</v>
      </c>
      <c r="AR5" s="22" t="str">
        <f t="shared" si="1"/>
        <v>l</v>
      </c>
      <c r="AS5" s="22" t="str">
        <f t="shared" si="1"/>
        <v>m</v>
      </c>
      <c r="AT5" s="22" t="str">
        <f t="shared" si="1"/>
        <v>m</v>
      </c>
      <c r="AU5" s="22" t="str">
        <f t="shared" si="1"/>
        <v>j</v>
      </c>
      <c r="AV5" s="22" t="str">
        <f t="shared" si="1"/>
        <v>v</v>
      </c>
      <c r="AW5" s="22" t="str">
        <f t="shared" si="1"/>
        <v>s</v>
      </c>
      <c r="AX5" s="22" t="str">
        <f t="shared" si="1"/>
        <v>d</v>
      </c>
      <c r="AY5" s="22" t="str">
        <f t="shared" si="1"/>
        <v>l</v>
      </c>
      <c r="AZ5" s="22" t="str">
        <f t="shared" si="1"/>
        <v>m</v>
      </c>
      <c r="BA5" s="22" t="str">
        <f t="shared" si="1"/>
        <v>m</v>
      </c>
      <c r="BB5" s="22" t="str">
        <f t="shared" si="1"/>
        <v>j</v>
      </c>
      <c r="BC5" s="22" t="str">
        <f t="shared" si="1"/>
        <v>v</v>
      </c>
      <c r="BD5" s="22" t="str">
        <f t="shared" si="1"/>
        <v>s</v>
      </c>
      <c r="BE5" s="22" t="str">
        <f t="shared" si="1"/>
        <v>d</v>
      </c>
      <c r="BF5" s="22" t="str">
        <f t="shared" si="1"/>
        <v>l</v>
      </c>
      <c r="BG5" s="22" t="str">
        <f t="shared" si="1"/>
        <v>m</v>
      </c>
      <c r="BH5" s="22" t="str">
        <f t="shared" si="1"/>
        <v>m</v>
      </c>
      <c r="BI5" s="22" t="str">
        <f t="shared" si="1"/>
        <v>j</v>
      </c>
      <c r="BJ5" s="22" t="str">
        <f t="shared" si="1"/>
        <v>v</v>
      </c>
      <c r="BK5" s="22" t="str">
        <f t="shared" si="1"/>
        <v>s</v>
      </c>
      <c r="BL5" s="22" t="str">
        <f t="shared" si="1"/>
        <v>d</v>
      </c>
    </row>
    <row r="6" spans="1:64" ht="15.75" customHeight="1" x14ac:dyDescent="0.25">
      <c r="A6" s="23" t="s">
        <v>12</v>
      </c>
      <c r="B6" s="24"/>
      <c r="C6" s="25">
        <v>1</v>
      </c>
      <c r="D6" s="57">
        <f>C6</f>
        <v>1</v>
      </c>
      <c r="E6" s="26"/>
      <c r="F6" s="27"/>
      <c r="G6" s="26"/>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row>
    <row r="7" spans="1:64" ht="15.75" customHeight="1" x14ac:dyDescent="0.25">
      <c r="A7" s="29" t="s">
        <v>13</v>
      </c>
      <c r="B7" s="30" t="s">
        <v>14</v>
      </c>
      <c r="C7" s="31">
        <v>1</v>
      </c>
      <c r="D7" s="57">
        <f t="shared" ref="D7:D67" si="2">C7</f>
        <v>1</v>
      </c>
      <c r="E7" s="32">
        <v>46092</v>
      </c>
      <c r="F7" s="33">
        <v>4</v>
      </c>
      <c r="G7" s="32">
        <f t="shared" ref="G7:G29" si="3">E7+F7-1</f>
        <v>46095</v>
      </c>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ht="15.75" customHeight="1" x14ac:dyDescent="0.25">
      <c r="A8" s="29" t="s">
        <v>15</v>
      </c>
      <c r="B8" s="30" t="s">
        <v>16</v>
      </c>
      <c r="C8" s="31">
        <v>1</v>
      </c>
      <c r="D8" s="57">
        <f t="shared" si="2"/>
        <v>1</v>
      </c>
      <c r="E8" s="32">
        <v>46096</v>
      </c>
      <c r="F8" s="33">
        <v>1</v>
      </c>
      <c r="G8" s="32">
        <f t="shared" si="3"/>
        <v>46096</v>
      </c>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row>
    <row r="9" spans="1:64" ht="15.75" customHeight="1" x14ac:dyDescent="0.25">
      <c r="A9" s="29" t="s">
        <v>17</v>
      </c>
      <c r="B9" s="30" t="s">
        <v>16</v>
      </c>
      <c r="C9" s="31">
        <v>1</v>
      </c>
      <c r="D9" s="57">
        <f t="shared" si="2"/>
        <v>1</v>
      </c>
      <c r="E9" s="32">
        <v>46097</v>
      </c>
      <c r="F9" s="33">
        <v>1</v>
      </c>
      <c r="G9" s="32">
        <f t="shared" si="3"/>
        <v>46097</v>
      </c>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row>
    <row r="10" spans="1:64" ht="15.75" customHeight="1" x14ac:dyDescent="0.25">
      <c r="A10" s="29" t="s">
        <v>18</v>
      </c>
      <c r="B10" s="30" t="s">
        <v>16</v>
      </c>
      <c r="C10" s="31">
        <v>1</v>
      </c>
      <c r="D10" s="57">
        <f t="shared" si="2"/>
        <v>1</v>
      </c>
      <c r="E10" s="32">
        <v>46098</v>
      </c>
      <c r="F10" s="33">
        <v>1</v>
      </c>
      <c r="G10" s="32">
        <f t="shared" si="3"/>
        <v>46098</v>
      </c>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spans="1:64" ht="15.75" customHeight="1" x14ac:dyDescent="0.25">
      <c r="A11" s="29" t="s">
        <v>19</v>
      </c>
      <c r="B11" s="30" t="s">
        <v>20</v>
      </c>
      <c r="C11" s="31">
        <v>1</v>
      </c>
      <c r="D11" s="57">
        <f t="shared" si="2"/>
        <v>1</v>
      </c>
      <c r="E11" s="32">
        <v>46099</v>
      </c>
      <c r="F11" s="33">
        <v>1</v>
      </c>
      <c r="G11" s="32">
        <f t="shared" si="3"/>
        <v>46099</v>
      </c>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spans="1:64" ht="15.75" customHeight="1" x14ac:dyDescent="0.25">
      <c r="A12" s="29" t="s">
        <v>21</v>
      </c>
      <c r="B12" s="30" t="s">
        <v>22</v>
      </c>
      <c r="C12" s="31">
        <v>1</v>
      </c>
      <c r="D12" s="57">
        <f t="shared" si="2"/>
        <v>1</v>
      </c>
      <c r="E12" s="32">
        <v>46100</v>
      </c>
      <c r="F12" s="33">
        <v>1</v>
      </c>
      <c r="G12" s="32">
        <f t="shared" si="3"/>
        <v>46100</v>
      </c>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ht="15.75" customHeight="1" x14ac:dyDescent="0.25">
      <c r="A13" s="29" t="s">
        <v>23</v>
      </c>
      <c r="B13" s="30" t="s">
        <v>14</v>
      </c>
      <c r="C13" s="31">
        <v>1</v>
      </c>
      <c r="D13" s="57">
        <f t="shared" si="2"/>
        <v>1</v>
      </c>
      <c r="E13" s="32">
        <v>46101</v>
      </c>
      <c r="F13" s="33">
        <v>1</v>
      </c>
      <c r="G13" s="32">
        <f t="shared" si="3"/>
        <v>46101</v>
      </c>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ht="15.75" customHeight="1" x14ac:dyDescent="0.25">
      <c r="A14" s="29" t="s">
        <v>24</v>
      </c>
      <c r="B14" s="30" t="s">
        <v>16</v>
      </c>
      <c r="C14" s="31">
        <v>1</v>
      </c>
      <c r="D14" s="57">
        <f t="shared" si="2"/>
        <v>1</v>
      </c>
      <c r="E14" s="32">
        <v>46101</v>
      </c>
      <c r="F14" s="33">
        <v>2</v>
      </c>
      <c r="G14" s="32">
        <f t="shared" si="3"/>
        <v>46102</v>
      </c>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spans="1:64" ht="15.75" customHeight="1" x14ac:dyDescent="0.25">
      <c r="A15" s="29" t="s">
        <v>25</v>
      </c>
      <c r="B15" s="30" t="s">
        <v>16</v>
      </c>
      <c r="C15" s="31">
        <v>1</v>
      </c>
      <c r="D15" s="57">
        <f t="shared" si="2"/>
        <v>1</v>
      </c>
      <c r="E15" s="32">
        <v>46102</v>
      </c>
      <c r="F15" s="33">
        <v>1</v>
      </c>
      <c r="G15" s="32">
        <f t="shared" si="3"/>
        <v>46102</v>
      </c>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spans="1:64" ht="15.75" customHeight="1" x14ac:dyDescent="0.25">
      <c r="A16" s="29" t="s">
        <v>26</v>
      </c>
      <c r="B16" s="30" t="s">
        <v>14</v>
      </c>
      <c r="C16" s="31">
        <v>1</v>
      </c>
      <c r="D16" s="57">
        <f t="shared" si="2"/>
        <v>1</v>
      </c>
      <c r="E16" s="32">
        <v>46103</v>
      </c>
      <c r="F16" s="33">
        <v>2</v>
      </c>
      <c r="G16" s="32">
        <f t="shared" si="3"/>
        <v>46104</v>
      </c>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spans="1:64" ht="15.75" customHeight="1" x14ac:dyDescent="0.25">
      <c r="A17" s="29" t="s">
        <v>27</v>
      </c>
      <c r="B17" s="30" t="s">
        <v>16</v>
      </c>
      <c r="C17" s="31">
        <v>1</v>
      </c>
      <c r="D17" s="57">
        <f t="shared" si="2"/>
        <v>1</v>
      </c>
      <c r="E17" s="32">
        <v>46105</v>
      </c>
      <c r="F17" s="33">
        <v>2</v>
      </c>
      <c r="G17" s="32">
        <f t="shared" si="3"/>
        <v>46106</v>
      </c>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spans="1:64" ht="15.75" customHeight="1" x14ac:dyDescent="0.25">
      <c r="A18" s="29" t="s">
        <v>28</v>
      </c>
      <c r="B18" s="30" t="s">
        <v>14</v>
      </c>
      <c r="C18" s="31">
        <v>1</v>
      </c>
      <c r="D18" s="57">
        <f t="shared" si="2"/>
        <v>1</v>
      </c>
      <c r="E18" s="32">
        <v>46107</v>
      </c>
      <c r="F18" s="33">
        <v>1</v>
      </c>
      <c r="G18" s="32">
        <f t="shared" si="3"/>
        <v>46107</v>
      </c>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spans="1:64" ht="15.75" customHeight="1" x14ac:dyDescent="0.25">
      <c r="A19" s="29" t="s">
        <v>29</v>
      </c>
      <c r="B19" s="30" t="s">
        <v>14</v>
      </c>
      <c r="C19" s="31">
        <v>1</v>
      </c>
      <c r="D19" s="57">
        <f t="shared" si="2"/>
        <v>1</v>
      </c>
      <c r="E19" s="32">
        <v>46108</v>
      </c>
      <c r="F19" s="33">
        <v>1</v>
      </c>
      <c r="G19" s="32">
        <f t="shared" si="3"/>
        <v>46108</v>
      </c>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spans="1:64" ht="15.75" customHeight="1" x14ac:dyDescent="0.25">
      <c r="A20" s="29" t="s">
        <v>30</v>
      </c>
      <c r="B20" s="30" t="s">
        <v>22</v>
      </c>
      <c r="C20" s="31">
        <v>1</v>
      </c>
      <c r="D20" s="57">
        <f t="shared" si="2"/>
        <v>1</v>
      </c>
      <c r="E20" s="32">
        <v>46108</v>
      </c>
      <c r="F20" s="33">
        <v>1</v>
      </c>
      <c r="G20" s="32">
        <f t="shared" si="3"/>
        <v>46108</v>
      </c>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ht="15.75" customHeight="1" x14ac:dyDescent="0.25">
      <c r="A21" s="29" t="s">
        <v>31</v>
      </c>
      <c r="B21" s="30" t="s">
        <v>14</v>
      </c>
      <c r="C21" s="31">
        <v>1</v>
      </c>
      <c r="D21" s="57">
        <f t="shared" si="2"/>
        <v>1</v>
      </c>
      <c r="E21" s="32">
        <v>46108</v>
      </c>
      <c r="F21" s="33">
        <v>2</v>
      </c>
      <c r="G21" s="32">
        <f t="shared" si="3"/>
        <v>46109</v>
      </c>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spans="1:64" ht="15.75" customHeight="1" x14ac:dyDescent="0.25">
      <c r="A22" s="29" t="s">
        <v>32</v>
      </c>
      <c r="B22" s="30" t="s">
        <v>20</v>
      </c>
      <c r="C22" s="31">
        <v>1</v>
      </c>
      <c r="D22" s="57">
        <f t="shared" si="2"/>
        <v>1</v>
      </c>
      <c r="E22" s="32">
        <v>46109</v>
      </c>
      <c r="F22" s="33">
        <v>1</v>
      </c>
      <c r="G22" s="32">
        <f t="shared" si="3"/>
        <v>46109</v>
      </c>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spans="1:64" ht="15.75" customHeight="1" x14ac:dyDescent="0.25">
      <c r="A23" s="29" t="s">
        <v>33</v>
      </c>
      <c r="B23" s="30" t="s">
        <v>14</v>
      </c>
      <c r="C23" s="31">
        <v>1</v>
      </c>
      <c r="D23" s="57">
        <f t="shared" si="2"/>
        <v>1</v>
      </c>
      <c r="E23" s="32">
        <v>46109</v>
      </c>
      <c r="F23" s="33">
        <v>2</v>
      </c>
      <c r="G23" s="32">
        <f t="shared" si="3"/>
        <v>46110</v>
      </c>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spans="1:64" ht="15.75" customHeight="1" x14ac:dyDescent="0.25">
      <c r="A24" s="29" t="s">
        <v>34</v>
      </c>
      <c r="B24" s="30" t="s">
        <v>22</v>
      </c>
      <c r="C24" s="31">
        <v>1</v>
      </c>
      <c r="D24" s="57">
        <f t="shared" si="2"/>
        <v>1</v>
      </c>
      <c r="E24" s="32">
        <v>46110</v>
      </c>
      <c r="F24" s="33">
        <v>1</v>
      </c>
      <c r="G24" s="32">
        <f t="shared" si="3"/>
        <v>46110</v>
      </c>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spans="1:64" ht="15.75" customHeight="1" x14ac:dyDescent="0.25">
      <c r="A25" s="29" t="s">
        <v>35</v>
      </c>
      <c r="B25" s="30" t="s">
        <v>20</v>
      </c>
      <c r="C25" s="31">
        <v>1</v>
      </c>
      <c r="D25" s="57">
        <f t="shared" si="2"/>
        <v>1</v>
      </c>
      <c r="E25" s="32">
        <v>46110</v>
      </c>
      <c r="F25" s="33">
        <v>2</v>
      </c>
      <c r="G25" s="32">
        <f t="shared" si="3"/>
        <v>46111</v>
      </c>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spans="1:64" ht="15.75" customHeight="1" x14ac:dyDescent="0.25">
      <c r="A26" s="29" t="s">
        <v>36</v>
      </c>
      <c r="B26" s="30" t="s">
        <v>14</v>
      </c>
      <c r="C26" s="31">
        <v>1</v>
      </c>
      <c r="D26" s="57">
        <f t="shared" si="2"/>
        <v>1</v>
      </c>
      <c r="E26" s="32">
        <v>46111</v>
      </c>
      <c r="F26" s="33">
        <v>1</v>
      </c>
      <c r="G26" s="32">
        <f t="shared" si="3"/>
        <v>46111</v>
      </c>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spans="1:64" ht="15.75" customHeight="1" x14ac:dyDescent="0.25">
      <c r="A27" s="29" t="s">
        <v>37</v>
      </c>
      <c r="B27" s="30" t="s">
        <v>22</v>
      </c>
      <c r="C27" s="31">
        <v>1</v>
      </c>
      <c r="D27" s="57">
        <f t="shared" si="2"/>
        <v>1</v>
      </c>
      <c r="E27" s="32">
        <v>46111</v>
      </c>
      <c r="F27" s="33">
        <v>1</v>
      </c>
      <c r="G27" s="32">
        <f t="shared" si="3"/>
        <v>46111</v>
      </c>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row>
    <row r="28" spans="1:64" ht="15.75" customHeight="1" x14ac:dyDescent="0.25">
      <c r="A28" s="29" t="s">
        <v>38</v>
      </c>
      <c r="B28" s="30" t="s">
        <v>20</v>
      </c>
      <c r="C28" s="31">
        <v>1</v>
      </c>
      <c r="D28" s="57">
        <f t="shared" si="2"/>
        <v>1</v>
      </c>
      <c r="E28" s="32">
        <v>46111</v>
      </c>
      <c r="F28" s="33">
        <v>2</v>
      </c>
      <c r="G28" s="32">
        <f t="shared" si="3"/>
        <v>46112</v>
      </c>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row>
    <row r="29" spans="1:64" ht="15.75" customHeight="1" x14ac:dyDescent="0.25">
      <c r="A29" s="29" t="s">
        <v>39</v>
      </c>
      <c r="B29" s="30" t="s">
        <v>16</v>
      </c>
      <c r="C29" s="31">
        <v>1</v>
      </c>
      <c r="D29" s="57">
        <f t="shared" si="2"/>
        <v>1</v>
      </c>
      <c r="E29" s="32">
        <v>46112</v>
      </c>
      <c r="F29" s="33">
        <v>1</v>
      </c>
      <c r="G29" s="32">
        <f t="shared" si="3"/>
        <v>46112</v>
      </c>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row>
    <row r="30" spans="1:64" ht="15.75" customHeight="1" x14ac:dyDescent="0.25">
      <c r="A30" s="23" t="s">
        <v>40</v>
      </c>
      <c r="B30" s="24"/>
      <c r="C30" s="25">
        <v>0</v>
      </c>
      <c r="D30" s="57">
        <f t="shared" si="2"/>
        <v>0</v>
      </c>
      <c r="E30" s="26"/>
      <c r="F30" s="27"/>
      <c r="G30" s="26"/>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row>
    <row r="31" spans="1:64" ht="15.75" customHeight="1" x14ac:dyDescent="0.25">
      <c r="A31" s="29" t="s">
        <v>41</v>
      </c>
      <c r="B31" s="30" t="s">
        <v>16</v>
      </c>
      <c r="C31" s="31">
        <v>1</v>
      </c>
      <c r="D31" s="57">
        <f t="shared" si="2"/>
        <v>1</v>
      </c>
      <c r="E31" s="32">
        <f>G29+1</f>
        <v>46113</v>
      </c>
      <c r="F31" s="33">
        <v>2</v>
      </c>
      <c r="G31" s="32">
        <f t="shared" ref="G31:G46" si="4">E31+F31-1</f>
        <v>46114</v>
      </c>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row>
    <row r="32" spans="1:64" ht="15.75" customHeight="1" x14ac:dyDescent="0.25">
      <c r="A32" s="29" t="s">
        <v>42</v>
      </c>
      <c r="B32" s="30" t="s">
        <v>16</v>
      </c>
      <c r="C32" s="31">
        <v>1</v>
      </c>
      <c r="D32" s="57">
        <f t="shared" si="2"/>
        <v>1</v>
      </c>
      <c r="E32" s="32">
        <f t="shared" ref="E32:E46" si="5">G31+1</f>
        <v>46115</v>
      </c>
      <c r="F32" s="33">
        <v>2</v>
      </c>
      <c r="G32" s="32">
        <f t="shared" si="4"/>
        <v>46116</v>
      </c>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row>
    <row r="33" spans="1:64" ht="15.75" customHeight="1" x14ac:dyDescent="0.25">
      <c r="A33" s="29" t="s">
        <v>43</v>
      </c>
      <c r="B33" s="30" t="s">
        <v>14</v>
      </c>
      <c r="C33" s="31">
        <v>1</v>
      </c>
      <c r="D33" s="57">
        <f t="shared" si="2"/>
        <v>1</v>
      </c>
      <c r="E33" s="32">
        <f t="shared" si="5"/>
        <v>46117</v>
      </c>
      <c r="F33" s="33">
        <v>3</v>
      </c>
      <c r="G33" s="32">
        <f t="shared" si="4"/>
        <v>46119</v>
      </c>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row>
    <row r="34" spans="1:64" ht="15.75" customHeight="1" x14ac:dyDescent="0.25">
      <c r="A34" s="29" t="s">
        <v>44</v>
      </c>
      <c r="B34" s="30" t="s">
        <v>45</v>
      </c>
      <c r="C34" s="31">
        <v>0</v>
      </c>
      <c r="D34" s="57">
        <f t="shared" si="2"/>
        <v>0</v>
      </c>
      <c r="E34" s="32">
        <f t="shared" si="5"/>
        <v>46120</v>
      </c>
      <c r="F34" s="33">
        <v>3</v>
      </c>
      <c r="G34" s="32">
        <f t="shared" si="4"/>
        <v>46122</v>
      </c>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row>
    <row r="35" spans="1:64" ht="15.75" customHeight="1" x14ac:dyDescent="0.25">
      <c r="A35" s="29" t="s">
        <v>46</v>
      </c>
      <c r="B35" s="30" t="s">
        <v>22</v>
      </c>
      <c r="C35" s="31">
        <v>0</v>
      </c>
      <c r="D35" s="57">
        <f t="shared" si="2"/>
        <v>0</v>
      </c>
      <c r="E35" s="32">
        <f t="shared" si="5"/>
        <v>46123</v>
      </c>
      <c r="F35" s="33">
        <v>3</v>
      </c>
      <c r="G35" s="32">
        <f t="shared" si="4"/>
        <v>46125</v>
      </c>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row>
    <row r="36" spans="1:64" ht="15.75" customHeight="1" x14ac:dyDescent="0.25">
      <c r="A36" s="29" t="s">
        <v>47</v>
      </c>
      <c r="B36" s="30" t="s">
        <v>14</v>
      </c>
      <c r="C36" s="31">
        <v>0</v>
      </c>
      <c r="D36" s="57">
        <f t="shared" si="2"/>
        <v>0</v>
      </c>
      <c r="E36" s="32">
        <f t="shared" si="5"/>
        <v>46126</v>
      </c>
      <c r="F36" s="33">
        <v>3</v>
      </c>
      <c r="G36" s="32">
        <f t="shared" si="4"/>
        <v>46128</v>
      </c>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row>
    <row r="37" spans="1:64" ht="15.75" customHeight="1" x14ac:dyDescent="0.25">
      <c r="A37" s="29" t="s">
        <v>48</v>
      </c>
      <c r="B37" s="30" t="s">
        <v>22</v>
      </c>
      <c r="C37" s="31">
        <v>0</v>
      </c>
      <c r="D37" s="57">
        <f t="shared" si="2"/>
        <v>0</v>
      </c>
      <c r="E37" s="32">
        <f t="shared" si="5"/>
        <v>46129</v>
      </c>
      <c r="F37" s="33">
        <v>3</v>
      </c>
      <c r="G37" s="32">
        <f t="shared" si="4"/>
        <v>46131</v>
      </c>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row>
    <row r="38" spans="1:64" ht="15.75" customHeight="1" x14ac:dyDescent="0.25">
      <c r="A38" s="29" t="s">
        <v>49</v>
      </c>
      <c r="B38" s="30" t="s">
        <v>45</v>
      </c>
      <c r="C38" s="31">
        <v>0</v>
      </c>
      <c r="D38" s="57">
        <f t="shared" si="2"/>
        <v>0</v>
      </c>
      <c r="E38" s="32">
        <f t="shared" si="5"/>
        <v>46132</v>
      </c>
      <c r="F38" s="33">
        <v>3</v>
      </c>
      <c r="G38" s="32">
        <f t="shared" si="4"/>
        <v>46134</v>
      </c>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row>
    <row r="39" spans="1:64" ht="15.75" customHeight="1" x14ac:dyDescent="0.25">
      <c r="A39" s="29" t="s">
        <v>50</v>
      </c>
      <c r="B39" s="30" t="s">
        <v>14</v>
      </c>
      <c r="C39" s="31">
        <v>0</v>
      </c>
      <c r="D39" s="57">
        <f t="shared" si="2"/>
        <v>0</v>
      </c>
      <c r="E39" s="32">
        <f t="shared" si="5"/>
        <v>46135</v>
      </c>
      <c r="F39" s="33">
        <v>3</v>
      </c>
      <c r="G39" s="32">
        <f t="shared" si="4"/>
        <v>46137</v>
      </c>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row>
    <row r="40" spans="1:64" ht="15.75" customHeight="1" x14ac:dyDescent="0.25">
      <c r="A40" s="29" t="s">
        <v>51</v>
      </c>
      <c r="B40" s="30" t="s">
        <v>22</v>
      </c>
      <c r="C40" s="31">
        <v>0</v>
      </c>
      <c r="D40" s="57">
        <f t="shared" si="2"/>
        <v>0</v>
      </c>
      <c r="E40" s="32">
        <f t="shared" si="5"/>
        <v>46138</v>
      </c>
      <c r="F40" s="33">
        <v>5</v>
      </c>
      <c r="G40" s="32">
        <f t="shared" si="4"/>
        <v>46142</v>
      </c>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row>
    <row r="41" spans="1:64" ht="15.75" customHeight="1" x14ac:dyDescent="0.25">
      <c r="A41" s="29" t="s">
        <v>52</v>
      </c>
      <c r="B41" s="30" t="s">
        <v>45</v>
      </c>
      <c r="C41" s="31">
        <v>0</v>
      </c>
      <c r="D41" s="57">
        <f t="shared" si="2"/>
        <v>0</v>
      </c>
      <c r="E41" s="32">
        <f t="shared" si="5"/>
        <v>46143</v>
      </c>
      <c r="F41" s="33">
        <v>4</v>
      </c>
      <c r="G41" s="32">
        <f t="shared" si="4"/>
        <v>46146</v>
      </c>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row>
    <row r="42" spans="1:64" ht="15.75" customHeight="1" x14ac:dyDescent="0.25">
      <c r="A42" s="29" t="s">
        <v>53</v>
      </c>
      <c r="B42" s="30" t="s">
        <v>14</v>
      </c>
      <c r="C42" s="31">
        <v>0</v>
      </c>
      <c r="D42" s="57">
        <f t="shared" si="2"/>
        <v>0</v>
      </c>
      <c r="E42" s="32">
        <f t="shared" si="5"/>
        <v>46147</v>
      </c>
      <c r="F42" s="33">
        <v>4</v>
      </c>
      <c r="G42" s="32">
        <f t="shared" si="4"/>
        <v>46150</v>
      </c>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row>
    <row r="43" spans="1:64" ht="15.75" customHeight="1" x14ac:dyDescent="0.25">
      <c r="A43" s="29" t="s">
        <v>54</v>
      </c>
      <c r="B43" s="30" t="s">
        <v>22</v>
      </c>
      <c r="C43" s="31">
        <v>0</v>
      </c>
      <c r="D43" s="57">
        <f t="shared" si="2"/>
        <v>0</v>
      </c>
      <c r="E43" s="32">
        <f t="shared" si="5"/>
        <v>46151</v>
      </c>
      <c r="F43" s="33">
        <v>4</v>
      </c>
      <c r="G43" s="32">
        <f t="shared" si="4"/>
        <v>46154</v>
      </c>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row>
    <row r="44" spans="1:64" ht="15.75" customHeight="1" x14ac:dyDescent="0.25">
      <c r="A44" s="29" t="s">
        <v>55</v>
      </c>
      <c r="B44" s="30" t="s">
        <v>45</v>
      </c>
      <c r="C44" s="31">
        <v>0</v>
      </c>
      <c r="D44" s="57">
        <f t="shared" si="2"/>
        <v>0</v>
      </c>
      <c r="E44" s="32">
        <f t="shared" si="5"/>
        <v>46155</v>
      </c>
      <c r="F44" s="33">
        <v>5</v>
      </c>
      <c r="G44" s="32">
        <f t="shared" si="4"/>
        <v>46159</v>
      </c>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row>
    <row r="45" spans="1:64" ht="15.75" customHeight="1" x14ac:dyDescent="0.25">
      <c r="A45" s="29" t="s">
        <v>56</v>
      </c>
      <c r="B45" s="30" t="s">
        <v>16</v>
      </c>
      <c r="C45" s="31">
        <v>0</v>
      </c>
      <c r="D45" s="57">
        <f t="shared" si="2"/>
        <v>0</v>
      </c>
      <c r="E45" s="32">
        <f t="shared" si="5"/>
        <v>46160</v>
      </c>
      <c r="F45" s="33">
        <v>5</v>
      </c>
      <c r="G45" s="32">
        <f t="shared" si="4"/>
        <v>46164</v>
      </c>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row>
    <row r="46" spans="1:64" ht="15.75" customHeight="1" x14ac:dyDescent="0.25">
      <c r="A46" s="29" t="s">
        <v>57</v>
      </c>
      <c r="B46" s="30" t="s">
        <v>16</v>
      </c>
      <c r="C46" s="31">
        <v>0</v>
      </c>
      <c r="D46" s="57">
        <f t="shared" si="2"/>
        <v>0</v>
      </c>
      <c r="E46" s="32">
        <f t="shared" si="5"/>
        <v>46165</v>
      </c>
      <c r="F46" s="33">
        <v>5</v>
      </c>
      <c r="G46" s="32">
        <f t="shared" si="4"/>
        <v>46169</v>
      </c>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row>
    <row r="47" spans="1:64" ht="15.75" customHeight="1" x14ac:dyDescent="0.25">
      <c r="A47" s="23" t="s">
        <v>58</v>
      </c>
      <c r="B47" s="24"/>
      <c r="C47" s="25">
        <v>0</v>
      </c>
      <c r="D47" s="57">
        <f t="shared" si="2"/>
        <v>0</v>
      </c>
      <c r="E47" s="26"/>
      <c r="F47" s="27"/>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row>
    <row r="48" spans="1:64" ht="15.75" customHeight="1" x14ac:dyDescent="0.25">
      <c r="A48" s="29" t="s">
        <v>59</v>
      </c>
      <c r="B48" s="30" t="s">
        <v>16</v>
      </c>
      <c r="C48" s="31">
        <v>0</v>
      </c>
      <c r="D48" s="57">
        <f t="shared" si="2"/>
        <v>0</v>
      </c>
      <c r="E48" s="32">
        <f>G46+1</f>
        <v>46170</v>
      </c>
      <c r="F48" s="33">
        <v>2</v>
      </c>
      <c r="G48" s="32">
        <f t="shared" ref="G48:G61" si="6">E48+F48-1</f>
        <v>46171</v>
      </c>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row>
    <row r="49" spans="1:64" ht="15.75" customHeight="1" x14ac:dyDescent="0.25">
      <c r="A49" s="29" t="s">
        <v>60</v>
      </c>
      <c r="B49" s="30" t="s">
        <v>16</v>
      </c>
      <c r="C49" s="31">
        <v>0</v>
      </c>
      <c r="D49" s="57">
        <f t="shared" si="2"/>
        <v>0</v>
      </c>
      <c r="E49" s="32">
        <f t="shared" ref="E49:E61" si="7">G48+1</f>
        <v>46172</v>
      </c>
      <c r="F49" s="33">
        <v>2</v>
      </c>
      <c r="G49" s="32">
        <f t="shared" si="6"/>
        <v>46173</v>
      </c>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row>
    <row r="50" spans="1:64" ht="15.75" customHeight="1" x14ac:dyDescent="0.25">
      <c r="A50" s="29" t="s">
        <v>61</v>
      </c>
      <c r="B50" s="30" t="s">
        <v>14</v>
      </c>
      <c r="C50" s="31">
        <v>0</v>
      </c>
      <c r="D50" s="57">
        <f t="shared" si="2"/>
        <v>0</v>
      </c>
      <c r="E50" s="32">
        <f t="shared" si="7"/>
        <v>46174</v>
      </c>
      <c r="F50" s="33">
        <v>2</v>
      </c>
      <c r="G50" s="32">
        <f t="shared" si="6"/>
        <v>46175</v>
      </c>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row>
    <row r="51" spans="1:64" ht="15.75" customHeight="1" x14ac:dyDescent="0.25">
      <c r="A51" s="29" t="s">
        <v>62</v>
      </c>
      <c r="B51" s="30" t="s">
        <v>14</v>
      </c>
      <c r="C51" s="31">
        <v>0</v>
      </c>
      <c r="D51" s="57">
        <f t="shared" si="2"/>
        <v>0</v>
      </c>
      <c r="E51" s="32">
        <f t="shared" si="7"/>
        <v>46176</v>
      </c>
      <c r="F51" s="33">
        <v>2</v>
      </c>
      <c r="G51" s="32">
        <f t="shared" si="6"/>
        <v>46177</v>
      </c>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row>
    <row r="52" spans="1:64" ht="15.75" customHeight="1" x14ac:dyDescent="0.25">
      <c r="A52" s="29" t="s">
        <v>63</v>
      </c>
      <c r="B52" s="30" t="s">
        <v>22</v>
      </c>
      <c r="C52" s="31">
        <v>0</v>
      </c>
      <c r="D52" s="57">
        <f t="shared" si="2"/>
        <v>0</v>
      </c>
      <c r="E52" s="32">
        <f t="shared" si="7"/>
        <v>46178</v>
      </c>
      <c r="F52" s="33">
        <v>2</v>
      </c>
      <c r="G52" s="32">
        <f t="shared" si="6"/>
        <v>46179</v>
      </c>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row>
    <row r="53" spans="1:64" ht="15.75" customHeight="1" x14ac:dyDescent="0.25">
      <c r="A53" s="29" t="s">
        <v>64</v>
      </c>
      <c r="B53" s="30" t="s">
        <v>45</v>
      </c>
      <c r="C53" s="31">
        <v>0</v>
      </c>
      <c r="D53" s="57">
        <f t="shared" si="2"/>
        <v>0</v>
      </c>
      <c r="E53" s="32">
        <f t="shared" si="7"/>
        <v>46180</v>
      </c>
      <c r="F53" s="33">
        <v>2</v>
      </c>
      <c r="G53" s="32">
        <f t="shared" si="6"/>
        <v>46181</v>
      </c>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row>
    <row r="54" spans="1:64" ht="15.75" customHeight="1" x14ac:dyDescent="0.25">
      <c r="A54" s="29" t="s">
        <v>65</v>
      </c>
      <c r="B54" s="30" t="s">
        <v>22</v>
      </c>
      <c r="C54" s="31">
        <v>0</v>
      </c>
      <c r="D54" s="57">
        <f t="shared" si="2"/>
        <v>0</v>
      </c>
      <c r="E54" s="32">
        <f t="shared" si="7"/>
        <v>46182</v>
      </c>
      <c r="F54" s="33">
        <v>2</v>
      </c>
      <c r="G54" s="32">
        <f t="shared" si="6"/>
        <v>46183</v>
      </c>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row>
    <row r="55" spans="1:64" ht="15.75" customHeight="1" x14ac:dyDescent="0.25">
      <c r="A55" s="29" t="s">
        <v>66</v>
      </c>
      <c r="B55" s="30" t="s">
        <v>45</v>
      </c>
      <c r="C55" s="31">
        <v>0</v>
      </c>
      <c r="D55" s="57">
        <f t="shared" si="2"/>
        <v>0</v>
      </c>
      <c r="E55" s="32">
        <f t="shared" si="7"/>
        <v>46184</v>
      </c>
      <c r="F55" s="33">
        <v>2</v>
      </c>
      <c r="G55" s="32">
        <f t="shared" si="6"/>
        <v>46185</v>
      </c>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row>
    <row r="56" spans="1:64" ht="15.75" customHeight="1" x14ac:dyDescent="0.25">
      <c r="A56" s="29" t="s">
        <v>67</v>
      </c>
      <c r="B56" s="30" t="s">
        <v>14</v>
      </c>
      <c r="C56" s="31">
        <v>0</v>
      </c>
      <c r="D56" s="57">
        <f t="shared" si="2"/>
        <v>0</v>
      </c>
      <c r="E56" s="32">
        <f t="shared" si="7"/>
        <v>46186</v>
      </c>
      <c r="F56" s="33">
        <v>2</v>
      </c>
      <c r="G56" s="32">
        <f t="shared" si="6"/>
        <v>46187</v>
      </c>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row>
    <row r="57" spans="1:64" ht="15.75" customHeight="1" x14ac:dyDescent="0.25">
      <c r="A57" s="29" t="s">
        <v>68</v>
      </c>
      <c r="B57" s="30" t="s">
        <v>16</v>
      </c>
      <c r="C57" s="31">
        <v>0</v>
      </c>
      <c r="D57" s="57">
        <f t="shared" si="2"/>
        <v>0</v>
      </c>
      <c r="E57" s="32">
        <f t="shared" si="7"/>
        <v>46188</v>
      </c>
      <c r="F57" s="33">
        <v>2</v>
      </c>
      <c r="G57" s="32">
        <f t="shared" si="6"/>
        <v>46189</v>
      </c>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row>
    <row r="58" spans="1:64" ht="15.75" customHeight="1" x14ac:dyDescent="0.25">
      <c r="A58" s="29" t="s">
        <v>69</v>
      </c>
      <c r="B58" s="30" t="s">
        <v>45</v>
      </c>
      <c r="C58" s="31">
        <v>0</v>
      </c>
      <c r="D58" s="57">
        <f t="shared" si="2"/>
        <v>0</v>
      </c>
      <c r="E58" s="32">
        <f t="shared" si="7"/>
        <v>46190</v>
      </c>
      <c r="F58" s="33">
        <v>2</v>
      </c>
      <c r="G58" s="32">
        <f t="shared" si="6"/>
        <v>46191</v>
      </c>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row>
    <row r="59" spans="1:64" ht="15.75" customHeight="1" x14ac:dyDescent="0.25">
      <c r="A59" s="29" t="s">
        <v>70</v>
      </c>
      <c r="B59" s="30" t="s">
        <v>22</v>
      </c>
      <c r="C59" s="31">
        <v>0</v>
      </c>
      <c r="D59" s="57">
        <f t="shared" si="2"/>
        <v>0</v>
      </c>
      <c r="E59" s="32">
        <f t="shared" si="7"/>
        <v>46192</v>
      </c>
      <c r="F59" s="33">
        <v>2</v>
      </c>
      <c r="G59" s="32">
        <f t="shared" si="6"/>
        <v>46193</v>
      </c>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row>
    <row r="60" spans="1:64" ht="15.75" customHeight="1" x14ac:dyDescent="0.25">
      <c r="A60" s="29" t="s">
        <v>71</v>
      </c>
      <c r="B60" s="30" t="s">
        <v>16</v>
      </c>
      <c r="C60" s="31">
        <v>0</v>
      </c>
      <c r="D60" s="57">
        <f t="shared" si="2"/>
        <v>0</v>
      </c>
      <c r="E60" s="32">
        <f t="shared" si="7"/>
        <v>46194</v>
      </c>
      <c r="F60" s="33">
        <v>2</v>
      </c>
      <c r="G60" s="32">
        <f t="shared" si="6"/>
        <v>46195</v>
      </c>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row>
    <row r="61" spans="1:64" ht="15.75" customHeight="1" x14ac:dyDescent="0.25">
      <c r="A61" s="29" t="s">
        <v>72</v>
      </c>
      <c r="B61" s="30" t="s">
        <v>16</v>
      </c>
      <c r="C61" s="31">
        <v>0</v>
      </c>
      <c r="D61" s="57">
        <f t="shared" si="2"/>
        <v>0</v>
      </c>
      <c r="E61" s="32">
        <f t="shared" si="7"/>
        <v>46196</v>
      </c>
      <c r="F61" s="33">
        <v>2</v>
      </c>
      <c r="G61" s="32">
        <f t="shared" si="6"/>
        <v>46197</v>
      </c>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row>
    <row r="62" spans="1:64" ht="15.75" customHeight="1" x14ac:dyDescent="0.25">
      <c r="A62" s="23" t="s">
        <v>73</v>
      </c>
      <c r="B62" s="24"/>
      <c r="C62" s="25">
        <v>0</v>
      </c>
      <c r="D62" s="57">
        <f t="shared" si="2"/>
        <v>0</v>
      </c>
      <c r="E62" s="26"/>
      <c r="F62" s="27"/>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row>
    <row r="63" spans="1:64" ht="15.75" customHeight="1" x14ac:dyDescent="0.25">
      <c r="A63" s="29" t="s">
        <v>74</v>
      </c>
      <c r="B63" s="30" t="s">
        <v>14</v>
      </c>
      <c r="C63" s="31">
        <v>0</v>
      </c>
      <c r="D63" s="57">
        <f t="shared" si="2"/>
        <v>0</v>
      </c>
      <c r="E63" s="32">
        <f>G61+1</f>
        <v>46198</v>
      </c>
      <c r="F63" s="33">
        <v>6</v>
      </c>
      <c r="G63" s="32">
        <f t="shared" ref="G63:G67" si="8">E63+F63-1</f>
        <v>46203</v>
      </c>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row>
    <row r="64" spans="1:64" ht="15.75" customHeight="1" x14ac:dyDescent="0.25">
      <c r="A64" s="29" t="s">
        <v>75</v>
      </c>
      <c r="B64" s="30" t="s">
        <v>22</v>
      </c>
      <c r="C64" s="31">
        <v>0</v>
      </c>
      <c r="D64" s="57">
        <f t="shared" si="2"/>
        <v>0</v>
      </c>
      <c r="E64" s="32">
        <f t="shared" ref="E64:E67" si="9">G63+1</f>
        <v>46204</v>
      </c>
      <c r="F64" s="33">
        <v>5</v>
      </c>
      <c r="G64" s="32">
        <f t="shared" si="8"/>
        <v>46208</v>
      </c>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row>
    <row r="65" spans="1:64" ht="15.75" customHeight="1" x14ac:dyDescent="0.25">
      <c r="A65" s="29" t="s">
        <v>76</v>
      </c>
      <c r="B65" s="30" t="s">
        <v>45</v>
      </c>
      <c r="C65" s="31">
        <v>0</v>
      </c>
      <c r="D65" s="57">
        <f t="shared" si="2"/>
        <v>0</v>
      </c>
      <c r="E65" s="32">
        <f t="shared" si="9"/>
        <v>46209</v>
      </c>
      <c r="F65" s="33">
        <v>5</v>
      </c>
      <c r="G65" s="32">
        <f t="shared" si="8"/>
        <v>46213</v>
      </c>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row>
    <row r="66" spans="1:64" ht="15.75" customHeight="1" x14ac:dyDescent="0.25">
      <c r="A66" s="29" t="s">
        <v>77</v>
      </c>
      <c r="B66" s="30" t="s">
        <v>16</v>
      </c>
      <c r="C66" s="31">
        <v>0</v>
      </c>
      <c r="D66" s="57">
        <f t="shared" si="2"/>
        <v>0</v>
      </c>
      <c r="E66" s="32">
        <f t="shared" si="9"/>
        <v>46214</v>
      </c>
      <c r="F66" s="33">
        <v>3</v>
      </c>
      <c r="G66" s="32">
        <f t="shared" si="8"/>
        <v>46216</v>
      </c>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row>
    <row r="67" spans="1:64" ht="15.75" customHeight="1" x14ac:dyDescent="0.25">
      <c r="A67" s="29" t="s">
        <v>78</v>
      </c>
      <c r="B67" s="30" t="s">
        <v>16</v>
      </c>
      <c r="C67" s="31">
        <v>0</v>
      </c>
      <c r="D67" s="57">
        <f t="shared" si="2"/>
        <v>0</v>
      </c>
      <c r="E67" s="32">
        <f t="shared" si="9"/>
        <v>46217</v>
      </c>
      <c r="F67" s="33">
        <v>1</v>
      </c>
      <c r="G67" s="32">
        <f t="shared" si="8"/>
        <v>46217</v>
      </c>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row>
    <row r="68" spans="1:64" ht="15.75" customHeight="1" x14ac:dyDescent="0.25"/>
    <row r="69" spans="1:64" ht="15.75" customHeight="1" x14ac:dyDescent="0.25"/>
    <row r="70" spans="1:64" ht="15.75" customHeight="1" x14ac:dyDescent="0.25"/>
    <row r="71" spans="1:64" ht="15.75" customHeight="1" x14ac:dyDescent="0.25"/>
    <row r="72" spans="1:64" ht="15.75" customHeight="1" x14ac:dyDescent="0.25"/>
    <row r="73" spans="1:64" ht="15.75" customHeight="1" x14ac:dyDescent="0.25"/>
    <row r="74" spans="1:64" ht="15.75" customHeight="1" x14ac:dyDescent="0.25"/>
    <row r="75" spans="1:64" ht="15.75" customHeight="1" x14ac:dyDescent="0.25"/>
    <row r="76" spans="1:64" ht="15.75" customHeight="1" x14ac:dyDescent="0.25"/>
    <row r="77" spans="1:64" ht="15.75" customHeight="1" x14ac:dyDescent="0.25"/>
    <row r="78" spans="1:64" ht="15.75" customHeight="1" x14ac:dyDescent="0.25"/>
    <row r="79" spans="1:64" ht="15.75" customHeight="1" x14ac:dyDescent="0.25"/>
    <row r="80" spans="1:64"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9">
    <mergeCell ref="AK3:AQ3"/>
    <mergeCell ref="AR3:AX3"/>
    <mergeCell ref="AY3:BE3"/>
    <mergeCell ref="BF3:BL3"/>
    <mergeCell ref="I3:O3"/>
    <mergeCell ref="C5:D5"/>
    <mergeCell ref="P3:V3"/>
    <mergeCell ref="W3:AC3"/>
    <mergeCell ref="AD3:AJ3"/>
  </mergeCells>
  <conditionalFormatting sqref="I4:BL5">
    <cfRule type="expression" dxfId="5" priority="5">
      <formula>I$4=TODAY()</formula>
    </cfRule>
  </conditionalFormatting>
  <conditionalFormatting sqref="I6:BL46 I48:BL61 I63:BL67">
    <cfRule type="expression" dxfId="4" priority="3">
      <formula>AND(1=0,I$4&gt;=$E6,I$4&lt;$E6+ROUNDDOWN($C6*($G6-$E6+1),0))</formula>
    </cfRule>
    <cfRule type="expression" dxfId="3" priority="4">
      <formula>AND(I$4&gt;=$E6,I$4&lt;=$G6)</formula>
    </cfRule>
  </conditionalFormatting>
  <conditionalFormatting sqref="D6:D67">
    <cfRule type="dataBar" priority="2">
      <dataBar>
        <cfvo type="min"/>
        <cfvo type="max"/>
        <color rgb="FF638EC6"/>
      </dataBar>
      <extLst>
        <ext xmlns:x14="http://schemas.microsoft.com/office/spreadsheetml/2009/9/main" uri="{B025F937-C7B1-47D3-B67F-A62EFF666E3E}">
          <x14:id>{E969E4E2-4C09-43F4-9094-D86B2FF9EDC3}</x14:id>
        </ext>
      </extLst>
    </cfRule>
    <cfRule type="dataBar" priority="1">
      <dataBar showValue="0">
        <cfvo type="min"/>
        <cfvo type="max"/>
        <color rgb="FF808080"/>
      </dataBar>
      <extLst>
        <ext xmlns:x14="http://schemas.microsoft.com/office/spreadsheetml/2009/9/main" uri="{B025F937-C7B1-47D3-B67F-A62EFF666E3E}">
          <x14:id>{59ED3336-A439-42E2-8B05-DFA9A07A68C3}</x14:id>
        </ext>
      </extLst>
    </cfRule>
  </conditionalFormatting>
  <hyperlinks>
    <hyperlink ref="I1" r:id="rId1" xr:uid="{00000000-0004-0000-0000-000000000000}"/>
  </hyperlinks>
  <printOptions horizontalCentered="1" gridLines="1"/>
  <pageMargins left="0.25" right="0.25" top="0.75" bottom="0.75" header="0" footer="0"/>
  <pageSetup fitToHeight="0" pageOrder="overThenDown" orientation="landscape" cellComments="atEnd"/>
  <headerFooter>
    <oddFooter>&amp;LGantt Chart Template © 2020 by Vertex42.com</oddFooter>
  </headerFooter>
  <ignoredErrors>
    <ignoredError xmlns:x16r3="http://schemas.microsoft.com/office/spreadsheetml/2018/08/main" sqref="D12" x16r3:misleadingFormat="1"/>
  </ignoredErrors>
  <extLst>
    <ext xmlns:x14="http://schemas.microsoft.com/office/spreadsheetml/2009/9/main" uri="{78C0D931-6437-407d-A8EE-F0AAD7539E65}">
      <x14:conditionalFormattings>
        <x14:conditionalFormatting xmlns:xm="http://schemas.microsoft.com/office/excel/2006/main">
          <x14:cfRule type="dataBar" id="{E969E4E2-4C09-43F4-9094-D86B2FF9EDC3}">
            <x14:dataBar minLength="0" maxLength="100" gradient="0">
              <x14:cfvo type="autoMin"/>
              <x14:cfvo type="autoMax"/>
              <x14:negativeFillColor rgb="FFFF0000"/>
              <x14:axisColor rgb="FF000000"/>
            </x14:dataBar>
          </x14:cfRule>
          <x14:cfRule type="dataBar" id="{59ED3336-A439-42E2-8B05-DFA9A07A68C3}">
            <x14:dataBar minLength="0" maxLength="100" gradient="0">
              <x14:cfvo type="autoMin"/>
              <x14:cfvo type="autoMax"/>
              <x14:negativeFillColor rgb="FFFF0000"/>
              <x14:axisColor rgb="FF000000"/>
            </x14:dataBar>
          </x14:cfRule>
          <xm:sqref>D6:D67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showGridLines="0" workbookViewId="0"/>
  </sheetViews>
  <sheetFormatPr defaultColWidth="12.6640625" defaultRowHeight="15" customHeight="1" x14ac:dyDescent="0.25"/>
  <cols>
    <col min="1" max="1" width="5.88671875" customWidth="1"/>
    <col min="2" max="2" width="71.44140625" customWidth="1"/>
    <col min="3" max="3" width="15.88671875" customWidth="1"/>
    <col min="4" max="6" width="12.6640625" customWidth="1"/>
  </cols>
  <sheetData>
    <row r="1" spans="1:3" ht="30.75" customHeight="1" x14ac:dyDescent="0.25">
      <c r="A1" s="34"/>
      <c r="B1" s="34" t="s">
        <v>79</v>
      </c>
      <c r="C1" s="34"/>
    </row>
    <row r="2" spans="1:3" ht="15.75" customHeight="1" x14ac:dyDescent="0.25">
      <c r="B2" s="35"/>
    </row>
    <row r="3" spans="1:3" ht="15.75" customHeight="1" x14ac:dyDescent="0.25">
      <c r="B3" s="35" t="s">
        <v>80</v>
      </c>
    </row>
    <row r="4" spans="1:3" ht="15.75" customHeight="1" x14ac:dyDescent="0.25">
      <c r="B4" s="36"/>
    </row>
    <row r="5" spans="1:3" ht="15.75" customHeight="1" x14ac:dyDescent="0.25">
      <c r="B5" s="35" t="s">
        <v>81</v>
      </c>
    </row>
    <row r="6" spans="1:3" ht="15.75" customHeight="1" x14ac:dyDescent="0.3">
      <c r="B6" s="37" t="s">
        <v>82</v>
      </c>
    </row>
    <row r="7" spans="1:3" ht="15.75" customHeight="1" x14ac:dyDescent="0.25">
      <c r="B7" s="35"/>
    </row>
    <row r="8" spans="1:3" ht="15.75" customHeight="1" x14ac:dyDescent="0.25">
      <c r="B8" s="35" t="s">
        <v>83</v>
      </c>
    </row>
    <row r="9" spans="1:3" ht="15.75" customHeight="1" x14ac:dyDescent="0.3">
      <c r="B9" s="37" t="s">
        <v>84</v>
      </c>
    </row>
    <row r="10" spans="1:3" ht="15.75" customHeight="1" x14ac:dyDescent="0.25">
      <c r="B10" s="35"/>
    </row>
    <row r="11" spans="1:3" ht="15.75" customHeight="1" x14ac:dyDescent="0.25">
      <c r="B11" s="35" t="s">
        <v>85</v>
      </c>
    </row>
    <row r="12" spans="1:3" ht="15.75" customHeight="1" x14ac:dyDescent="0.25">
      <c r="B12" s="35"/>
    </row>
    <row r="13" spans="1:3" ht="15.75" customHeight="1" x14ac:dyDescent="0.25">
      <c r="B13" s="35" t="s">
        <v>86</v>
      </c>
    </row>
    <row r="14" spans="1:3" ht="15.75" customHeight="1" x14ac:dyDescent="0.3">
      <c r="B14" s="38" t="s">
        <v>87</v>
      </c>
    </row>
    <row r="15" spans="1:3" ht="15.75" customHeight="1" x14ac:dyDescent="0.25">
      <c r="B15" s="35"/>
    </row>
    <row r="16" spans="1:3" ht="15.75" customHeight="1" x14ac:dyDescent="0.25">
      <c r="B16" s="35" t="s">
        <v>88</v>
      </c>
    </row>
    <row r="17" spans="2:2" ht="15.75" customHeight="1" x14ac:dyDescent="0.3">
      <c r="B17" s="38" t="s">
        <v>89</v>
      </c>
    </row>
    <row r="18" spans="2:2" ht="15.75" customHeight="1" x14ac:dyDescent="0.25">
      <c r="B18" s="39"/>
    </row>
    <row r="19" spans="2:2" ht="15.75" customHeight="1" x14ac:dyDescent="0.25">
      <c r="B19" s="39"/>
    </row>
    <row r="20" spans="2:2" ht="15.75" customHeight="1" x14ac:dyDescent="0.25">
      <c r="B20" s="39"/>
    </row>
    <row r="21" spans="2:2" ht="15.75" customHeight="1" x14ac:dyDescent="0.25">
      <c r="B21" s="39"/>
    </row>
    <row r="22" spans="2:2" ht="15.75" customHeight="1" x14ac:dyDescent="0.25">
      <c r="B22" s="39"/>
    </row>
    <row r="23" spans="2:2" ht="15.75" customHeight="1" x14ac:dyDescent="0.25">
      <c r="B23" s="39"/>
    </row>
    <row r="24" spans="2:2" ht="15.75" customHeight="1" x14ac:dyDescent="0.25">
      <c r="B24" s="39"/>
    </row>
    <row r="25" spans="2:2" ht="15.75" customHeight="1" x14ac:dyDescent="0.25">
      <c r="B25" s="39"/>
    </row>
    <row r="26" spans="2:2" ht="15.75" customHeight="1" x14ac:dyDescent="0.25">
      <c r="B26" s="39"/>
    </row>
    <row r="27" spans="2:2" ht="15.75" customHeight="1" x14ac:dyDescent="0.25">
      <c r="B27" s="39"/>
    </row>
    <row r="28" spans="2:2" ht="15.75" customHeight="1" x14ac:dyDescent="0.25">
      <c r="B28" s="39"/>
    </row>
    <row r="29" spans="2:2" ht="15.75" customHeight="1" x14ac:dyDescent="0.25">
      <c r="B29" s="39"/>
    </row>
    <row r="30" spans="2:2" ht="15.75" customHeight="1" x14ac:dyDescent="0.25">
      <c r="B30" s="39"/>
    </row>
    <row r="31" spans="2:2" ht="15.75" customHeight="1" x14ac:dyDescent="0.25"/>
    <row r="32" spans="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B6" r:id="rId1" xr:uid="{00000000-0004-0000-0100-000000000000}"/>
    <hyperlink ref="B9"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showGridLines="0" workbookViewId="0"/>
  </sheetViews>
  <sheetFormatPr defaultColWidth="12.6640625" defaultRowHeight="15" customHeight="1" x14ac:dyDescent="0.25"/>
  <cols>
    <col min="1" max="1" width="5.88671875" customWidth="1"/>
    <col min="2" max="2" width="71.44140625" customWidth="1"/>
    <col min="3" max="3" width="18.88671875" customWidth="1"/>
    <col min="4" max="6" width="12.6640625" customWidth="1"/>
  </cols>
  <sheetData>
    <row r="1" spans="1:3" ht="30" customHeight="1" x14ac:dyDescent="0.25">
      <c r="A1" s="34"/>
      <c r="B1" s="34" t="s">
        <v>90</v>
      </c>
      <c r="C1" s="34"/>
    </row>
    <row r="2" spans="1:3" ht="15.75" customHeight="1" x14ac:dyDescent="0.25">
      <c r="B2" s="40"/>
    </row>
    <row r="3" spans="1:3" ht="15.75" customHeight="1" x14ac:dyDescent="0.25">
      <c r="B3" s="41" t="str">
        <f>HYPERLINK("https://www.vertex42.com/ExcelTemplates/simple-gantt-chart.html","https://www.vertex42.com/ExcelTemplates/simple-gantt-chart.html")</f>
        <v>https://www.vertex42.com/ExcelTemplates/simple-gantt-chart.html</v>
      </c>
    </row>
    <row r="4" spans="1:3" ht="15.75" customHeight="1" x14ac:dyDescent="0.25">
      <c r="B4" s="36" t="s">
        <v>91</v>
      </c>
    </row>
    <row r="5" spans="1:3" ht="15.75" customHeight="1" x14ac:dyDescent="0.25">
      <c r="B5" s="40"/>
    </row>
    <row r="6" spans="1:3" ht="15.75" customHeight="1" x14ac:dyDescent="0.25">
      <c r="B6" s="42" t="s">
        <v>92</v>
      </c>
    </row>
    <row r="7" spans="1:3" ht="15.75" customHeight="1" x14ac:dyDescent="0.25">
      <c r="B7" s="43"/>
    </row>
    <row r="8" spans="1:3" ht="15.75" customHeight="1" x14ac:dyDescent="0.25">
      <c r="B8" s="42" t="s">
        <v>93</v>
      </c>
    </row>
    <row r="9" spans="1:3" ht="15.75" customHeight="1" x14ac:dyDescent="0.25">
      <c r="B9" s="43"/>
    </row>
    <row r="10" spans="1:3" ht="15.75" customHeight="1" x14ac:dyDescent="0.25">
      <c r="B10" s="44" t="s">
        <v>94</v>
      </c>
    </row>
    <row r="11" spans="1:3" ht="15.75" customHeight="1" x14ac:dyDescent="0.25">
      <c r="B11" s="43"/>
    </row>
    <row r="12" spans="1:3" ht="15.75" customHeight="1" x14ac:dyDescent="0.25">
      <c r="B12" s="42" t="s">
        <v>95</v>
      </c>
    </row>
    <row r="13" spans="1:3" ht="15.75" customHeight="1" x14ac:dyDescent="0.25">
      <c r="B13" s="42"/>
    </row>
    <row r="14" spans="1:3" ht="15.75" customHeight="1" x14ac:dyDescent="0.25">
      <c r="A14" s="45"/>
      <c r="B14" s="46" t="s">
        <v>96</v>
      </c>
      <c r="C14" s="45"/>
    </row>
    <row r="15" spans="1:3" ht="15.75" customHeight="1" x14ac:dyDescent="0.25">
      <c r="B15" s="43"/>
    </row>
    <row r="16" spans="1:3" ht="15.75" customHeight="1" x14ac:dyDescent="0.25">
      <c r="B16" s="44" t="s">
        <v>97</v>
      </c>
    </row>
    <row r="17" spans="2:2" ht="15.75" customHeight="1" x14ac:dyDescent="0.25">
      <c r="B17" s="42" t="s">
        <v>98</v>
      </c>
    </row>
    <row r="18" spans="2:2" ht="15.75" customHeight="1" x14ac:dyDescent="0.25">
      <c r="B18" s="43"/>
    </row>
    <row r="19" spans="2:2" ht="15.75" customHeight="1" x14ac:dyDescent="0.25">
      <c r="B19" s="44" t="s">
        <v>99</v>
      </c>
    </row>
    <row r="20" spans="2:2" ht="15.75" customHeight="1" x14ac:dyDescent="0.25">
      <c r="B20" s="47" t="str">
        <f>HYPERLINK("https://www.vertex42.com/licensing/EULA_privateuse.html","https://www.vertex42.com/licensing/EULA_privateuse.html")</f>
        <v>https://www.vertex42.com/licensing/EULA_privateuse.html</v>
      </c>
    </row>
    <row r="21" spans="2:2" ht="15.75" customHeight="1" x14ac:dyDescent="0.25">
      <c r="B21" s="43"/>
    </row>
    <row r="22" spans="2:2" ht="15.75" customHeight="1" x14ac:dyDescent="0.25">
      <c r="B22" s="43"/>
    </row>
    <row r="23" spans="2:2" ht="15.75" customHeight="1" x14ac:dyDescent="0.25">
      <c r="B23" s="40"/>
    </row>
    <row r="24" spans="2:2" ht="15.75" customHeight="1" x14ac:dyDescent="0.25">
      <c r="B24" s="40"/>
    </row>
    <row r="25" spans="2:2" ht="15.75" customHeight="1" x14ac:dyDescent="0.25">
      <c r="B25" s="40"/>
    </row>
    <row r="26" spans="2:2" ht="15.75" customHeight="1" x14ac:dyDescent="0.25">
      <c r="B26" s="40"/>
    </row>
    <row r="27" spans="2:2" ht="15" customHeight="1" x14ac:dyDescent="0.25">
      <c r="B27" s="40"/>
    </row>
    <row r="28" spans="2:2" ht="15" customHeight="1" x14ac:dyDescent="0.25">
      <c r="B28" s="40"/>
    </row>
    <row r="29" spans="2:2" ht="15.75" customHeight="1" x14ac:dyDescent="0.25"/>
    <row r="30" spans="2:2" ht="15.75" customHeight="1" x14ac:dyDescent="0.25"/>
    <row r="31" spans="2:2" ht="15.75" customHeight="1" x14ac:dyDescent="0.25"/>
    <row r="32" spans="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000"/>
  <sheetViews>
    <sheetView showGridLines="0" workbookViewId="0"/>
  </sheetViews>
  <sheetFormatPr defaultColWidth="12.6640625" defaultRowHeight="15" customHeight="1" x14ac:dyDescent="0.25"/>
  <cols>
    <col min="1" max="1" width="3.88671875" customWidth="1"/>
    <col min="2" max="2" width="74.21875" customWidth="1"/>
    <col min="3" max="3" width="15.77734375" customWidth="1"/>
    <col min="4" max="6" width="12.6640625" customWidth="1"/>
  </cols>
  <sheetData>
    <row r="1" spans="1:3" ht="30" customHeight="1" x14ac:dyDescent="0.25">
      <c r="A1" s="34" t="s">
        <v>100</v>
      </c>
      <c r="B1" s="34"/>
      <c r="C1" s="34"/>
    </row>
    <row r="2" spans="1:3" ht="15.75" customHeight="1" x14ac:dyDescent="0.25"/>
    <row r="3" spans="1:3" ht="15.75" customHeight="1" x14ac:dyDescent="0.25">
      <c r="B3" s="40" t="s">
        <v>101</v>
      </c>
    </row>
    <row r="4" spans="1:3" ht="15.75" customHeight="1" x14ac:dyDescent="0.25"/>
    <row r="5" spans="1:3" ht="15.75" customHeight="1" x14ac:dyDescent="0.3">
      <c r="B5" s="48" t="str">
        <f>HYPERLINK("https://www.vertex42.com/ExcelTemplates/gantt-chart-template-pro.html","Learn More About Gantt Chart Template Pro")</f>
        <v>Learn More About Gantt Chart Template Pro</v>
      </c>
    </row>
    <row r="6" spans="1:3" ht="15.75" customHeight="1" x14ac:dyDescent="0.25"/>
    <row r="7" spans="1:3" ht="15.75" customHeight="1" x14ac:dyDescent="0.25">
      <c r="B7" s="49" t="s">
        <v>102</v>
      </c>
    </row>
    <row r="8" spans="1:3" ht="15.75" customHeight="1" x14ac:dyDescent="0.25"/>
    <row r="9" spans="1:3" ht="22.5" customHeight="1" x14ac:dyDescent="0.25">
      <c r="A9" s="50" t="s">
        <v>103</v>
      </c>
      <c r="B9" s="51"/>
      <c r="C9" s="51"/>
    </row>
    <row r="10" spans="1:3" ht="15.75" customHeight="1" x14ac:dyDescent="0.25">
      <c r="B10" s="49"/>
    </row>
    <row r="11" spans="1:3" ht="15.75" customHeight="1" x14ac:dyDescent="0.25">
      <c r="B11" s="49" t="s">
        <v>104</v>
      </c>
    </row>
    <row r="12" spans="1:3" ht="15.75" customHeight="1" x14ac:dyDescent="0.25">
      <c r="B12" s="40" t="s">
        <v>105</v>
      </c>
    </row>
    <row r="13" spans="1:3" ht="15.75" customHeight="1" x14ac:dyDescent="0.25"/>
    <row r="14" spans="1:3" ht="15.75" customHeight="1" x14ac:dyDescent="0.25">
      <c r="B14" s="49" t="s">
        <v>106</v>
      </c>
    </row>
    <row r="15" spans="1:3" ht="15.75" customHeight="1" x14ac:dyDescent="0.25">
      <c r="B15" s="40" t="s">
        <v>107</v>
      </c>
    </row>
    <row r="16" spans="1:3" ht="15.75" customHeight="1" x14ac:dyDescent="0.25"/>
    <row r="17" spans="2:2" ht="15.75" customHeight="1" x14ac:dyDescent="0.25">
      <c r="B17" s="49" t="s">
        <v>108</v>
      </c>
    </row>
    <row r="18" spans="2:2" ht="15.75" customHeight="1" x14ac:dyDescent="0.25">
      <c r="B18" s="40" t="s">
        <v>109</v>
      </c>
    </row>
    <row r="19" spans="2:2" ht="15.75" customHeight="1" x14ac:dyDescent="0.25"/>
    <row r="20" spans="2:2" ht="15.75" customHeight="1" x14ac:dyDescent="0.25">
      <c r="B20" s="49" t="s">
        <v>110</v>
      </c>
    </row>
    <row r="21" spans="2:2" ht="15.75" customHeight="1" x14ac:dyDescent="0.25">
      <c r="B21" s="40" t="s">
        <v>111</v>
      </c>
    </row>
    <row r="22" spans="2:2" ht="15.75" customHeight="1" x14ac:dyDescent="0.25"/>
    <row r="23" spans="2:2" ht="15.75" customHeight="1" x14ac:dyDescent="0.25">
      <c r="B23" s="49" t="s">
        <v>112</v>
      </c>
    </row>
    <row r="24" spans="2:2" ht="15.75" customHeight="1" x14ac:dyDescent="0.25">
      <c r="B24" s="40" t="s">
        <v>113</v>
      </c>
    </row>
    <row r="25" spans="2:2" ht="15.75" customHeight="1" x14ac:dyDescent="0.25"/>
    <row r="26" spans="2:2" ht="15.75" customHeight="1" x14ac:dyDescent="0.25"/>
    <row r="27" spans="2:2" ht="15.75" customHeight="1" x14ac:dyDescent="0.25"/>
    <row r="28" spans="2:2" ht="15.75" customHeight="1" x14ac:dyDescent="0.25"/>
    <row r="29" spans="2:2" ht="15.75" customHeight="1" x14ac:dyDescent="0.25"/>
    <row r="30" spans="2:2" ht="15.75" customHeight="1" x14ac:dyDescent="0.25"/>
    <row r="31" spans="2:2" ht="15.75" customHeight="1" x14ac:dyDescent="0.25"/>
    <row r="32" spans="2:2" ht="15.75" customHeight="1" x14ac:dyDescent="0.25"/>
    <row r="33" spans="2:2" ht="15.75" customHeight="1" x14ac:dyDescent="0.25"/>
    <row r="34" spans="2:2" ht="15.75" customHeight="1" x14ac:dyDescent="0.25"/>
    <row r="35" spans="2:2" ht="15.75" customHeight="1" x14ac:dyDescent="0.25"/>
    <row r="36" spans="2:2" ht="15.75" customHeight="1" x14ac:dyDescent="0.25"/>
    <row r="37" spans="2:2" ht="15.75" customHeight="1" x14ac:dyDescent="0.25"/>
    <row r="38" spans="2:2" ht="15.75" customHeight="1" x14ac:dyDescent="0.25">
      <c r="B38" s="49" t="s">
        <v>114</v>
      </c>
    </row>
    <row r="39" spans="2:2" ht="15.75" customHeight="1" x14ac:dyDescent="0.25">
      <c r="B39" s="40" t="s">
        <v>115</v>
      </c>
    </row>
    <row r="40" spans="2:2" ht="15.75" customHeight="1" x14ac:dyDescent="0.25"/>
    <row r="41" spans="2:2" ht="15.75" customHeight="1" x14ac:dyDescent="0.25"/>
    <row r="42" spans="2:2" ht="15.75" customHeight="1" x14ac:dyDescent="0.25"/>
    <row r="43" spans="2:2" ht="15.75" customHeight="1" x14ac:dyDescent="0.25"/>
    <row r="44" spans="2:2" ht="15.75" customHeight="1" x14ac:dyDescent="0.25"/>
    <row r="45" spans="2:2" ht="15.75" customHeight="1" x14ac:dyDescent="0.25"/>
    <row r="46" spans="2:2" ht="15.75" customHeight="1" x14ac:dyDescent="0.25"/>
    <row r="47" spans="2:2" ht="15.75" customHeight="1" x14ac:dyDescent="0.25"/>
    <row r="48" spans="2: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Gantt Chart</vt:lpstr>
      <vt:lpstr>Help</vt:lpstr>
      <vt:lpstr>TermsOfUse</vt:lpstr>
      <vt:lpstr>GanttChartPro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Maira Vidal</cp:lastModifiedBy>
  <dcterms:modified xsi:type="dcterms:W3CDTF">2026-04-16T23:07:21Z</dcterms:modified>
</cp:coreProperties>
</file>